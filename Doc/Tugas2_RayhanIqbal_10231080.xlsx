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. Data Sumber" sheetId="1" r:id="rId5"/>
    <sheet state="visible" name="1. Bobot Kriteria" sheetId="2" r:id="rId6"/>
    <sheet state="visible" name="2. Data Mentah" sheetId="3" r:id="rId7"/>
    <sheet state="visible" name="3. Normalisasi &amp; V" sheetId="4" r:id="rId8"/>
    <sheet state="visible" name="4. Ranking &amp; Keputusan" sheetId="5" r:id="rId9"/>
  </sheets>
  <definedNames/>
  <calcPr/>
</workbook>
</file>

<file path=xl/sharedStrings.xml><?xml version="1.0" encoding="utf-8"?>
<sst xmlns="http://schemas.openxmlformats.org/spreadsheetml/2006/main" count="236" uniqueCount="220">
  <si>
    <t>Database Histori Karyawan</t>
  </si>
  <si>
    <t>Disimulasikan dari HRIS menuju matriks SAW.</t>
  </si>
  <si>
    <t>No.</t>
  </si>
  <si>
    <t>Employee ID</t>
  </si>
  <si>
    <t>Employee Name</t>
  </si>
  <si>
    <t>Employee Email</t>
  </si>
  <si>
    <t>Sum(Leave Period)</t>
  </si>
  <si>
    <t>Total Pengajuan</t>
  </si>
  <si>
    <t>Approved</t>
  </si>
  <si>
    <t>Pending (Raw)</t>
  </si>
  <si>
    <t>(Approved/Total)%</t>
  </si>
  <si>
    <t>Cuti Dasar</t>
  </si>
  <si>
    <t>Sisa Lalu</t>
  </si>
  <si>
    <t>Total Diambil</t>
  </si>
  <si>
    <t>Sisa Akhir Cuti</t>
  </si>
  <si>
    <t>Hire Date</t>
  </si>
  <si>
    <t>Masa Kerja (Hari)</t>
  </si>
  <si>
    <t>HH3183</t>
  </si>
  <si>
    <t>Rian Mulyadi</t>
  </si>
  <si>
    <t>rian.mulyadi@kpc.co.id</t>
  </si>
  <si>
    <t>VW9824</t>
  </si>
  <si>
    <t>Sari Handayani</t>
  </si>
  <si>
    <t>sari.handayani@kpc.co.id</t>
  </si>
  <si>
    <t>SG7127</t>
  </si>
  <si>
    <t>Joko Susanto</t>
  </si>
  <si>
    <t>joko.susanto@kpc.co.id</t>
  </si>
  <si>
    <t>VF6551</t>
  </si>
  <si>
    <t>Budi Santoso</t>
  </si>
  <si>
    <t>budi.santoso@kpc.co.id</t>
  </si>
  <si>
    <t>MB5413</t>
  </si>
  <si>
    <t>Nina Marlina</t>
  </si>
  <si>
    <t>nina.marlina@kpc.co.id</t>
  </si>
  <si>
    <t>RC8570</t>
  </si>
  <si>
    <t>Ahmad Fauzi</t>
  </si>
  <si>
    <t>ahmad.fauzi@kpc.co.id</t>
  </si>
  <si>
    <t>LE4536</t>
  </si>
  <si>
    <t>Rini Wulandari</t>
  </si>
  <si>
    <t>rini.wulandari@kpc.co.id</t>
  </si>
  <si>
    <t>QV3883</t>
  </si>
  <si>
    <t>Eko Prasetyo</t>
  </si>
  <si>
    <t>eko.prasetyo@kpc.co.id</t>
  </si>
  <si>
    <t>VN2329</t>
  </si>
  <si>
    <t>Dwi Wahyuni</t>
  </si>
  <si>
    <t>dwi.wahyuni@kpc.co.id</t>
  </si>
  <si>
    <t>TA7243</t>
  </si>
  <si>
    <t>Tri Novianto</t>
  </si>
  <si>
    <t>tri.novianto@kpc.co.id</t>
  </si>
  <si>
    <t>ZB4464</t>
  </si>
  <si>
    <t>Indra Gunawan</t>
  </si>
  <si>
    <t>indra.gunawan@kpc.co.id</t>
  </si>
  <si>
    <t>LW8801</t>
  </si>
  <si>
    <t>Maya Fitriani</t>
  </si>
  <si>
    <t>maya.fitriani@kpc.co.id</t>
  </si>
  <si>
    <t>TN3037</t>
  </si>
  <si>
    <t>Hendra Setiawan</t>
  </si>
  <si>
    <t>hendra.setiawan@kpc.co.id</t>
  </si>
  <si>
    <t>FN3384</t>
  </si>
  <si>
    <t>Rika Amelia</t>
  </si>
  <si>
    <t>rika.amelia@kpc.co.id</t>
  </si>
  <si>
    <t>ZH5220</t>
  </si>
  <si>
    <t>Agus Saputra</t>
  </si>
  <si>
    <t>agus.saputra@kpc.co.id</t>
  </si>
  <si>
    <t>JA1781</t>
  </si>
  <si>
    <t>Dian Pertiwi</t>
  </si>
  <si>
    <t>dian.pertiwi@kpc.co.id</t>
  </si>
  <si>
    <t>ZM7323</t>
  </si>
  <si>
    <t>Iwan Kurniadi</t>
  </si>
  <si>
    <t>iwan.kurniadi@kpc.co.id</t>
  </si>
  <si>
    <t>BL7530</t>
  </si>
  <si>
    <t>Lia Safitri</t>
  </si>
  <si>
    <t>lia.safitri@kpc.co.id</t>
  </si>
  <si>
    <t>HU6089</t>
  </si>
  <si>
    <t>Arif Rahman</t>
  </si>
  <si>
    <t>arif.rahman@kpc.co.id</t>
  </si>
  <si>
    <t>JO2312</t>
  </si>
  <si>
    <t>Mega Lestari</t>
  </si>
  <si>
    <t>mega.lestari@kpc.co.id</t>
  </si>
  <si>
    <t>Kriteria &amp; Bobot SAW</t>
  </si>
  <si>
    <t>Tabel master definisi Decision Matrix berserta Atribut Benefit/Cost.</t>
  </si>
  <si>
    <t>Kode</t>
  </si>
  <si>
    <t>Kriteria</t>
  </si>
  <si>
    <t>Atribut (Sifat)</t>
  </si>
  <si>
    <t>Bobot (%)</t>
  </si>
  <si>
    <t>Bobot (Desimal)</t>
  </si>
  <si>
    <t>Keterangan &amp; Alasan Analisis</t>
  </si>
  <si>
    <t>RUMUS PENENTUAN ATRIBUT (COST/BENEFIT)</t>
  </si>
  <si>
    <t>C1</t>
  </si>
  <si>
    <t>Total Hari Cuti</t>
  </si>
  <si>
    <t>Cost</t>
  </si>
  <si>
    <t>Cost: Semakin banyak total hari cuti yang sudah pernah diambil, semakin KECIL prioritasnya direkomendasikan. Mereka dianggap sudah sering absen dibanding yang belum cuti.</t>
  </si>
  <si>
    <t>BENEFIT (Keuntungan)</t>
  </si>
  <si>
    <t>Semakin besar nilai kriteria, semakin baik prioritasnya.</t>
  </si>
  <si>
    <t>C2</t>
  </si>
  <si>
    <t>Cost: Semakin menumpuk total pengajuannya, semakin KECIL prioritasnya agar tidak menambah beban persetujuan baru.</t>
  </si>
  <si>
    <t>COST (Beban / Volume Pengajuan)</t>
  </si>
  <si>
    <t>Semakin kecil total pengajuan, semakin rendah beban prioritasnya.</t>
  </si>
  <si>
    <t>C3</t>
  </si>
  <si>
    <t>Approval Rate</t>
  </si>
  <si>
    <t>Benefit</t>
  </si>
  <si>
    <t>Benefit: Semakin persentase cutinya sering disetujui (track record baik), makin BESAR kelayakannya direkomendasikan karena kredibilitas permohonannya tinggi.</t>
  </si>
  <si>
    <t>C4</t>
  </si>
  <si>
    <t>Benefit: Semakin banyak sisa cuti yang belum dipakai, makin LAYAK diprioritaskan agar hak cutinya tidak hangus &amp; menjaga work-life balance.</t>
  </si>
  <si>
    <t>C5</t>
  </si>
  <si>
    <t>Benefit: Semakin lama mengabdi/masa kerjanya tinggi, makin BESAR hak istimewa (privilege) dan prioritas untuk di-approve liburnya sebagai bentuk apresiasi.</t>
  </si>
  <si>
    <t>Tabel Skala Kualitatif (Konversi Bilangan Crisp)</t>
  </si>
  <si>
    <t>Sesuai dengan standar akademik untuk pengkategorian interval data non-crisp/mentah menjadi skala 1-5.</t>
  </si>
  <si>
    <t>Skor (1-5)</t>
  </si>
  <si>
    <t>Label Intensitas</t>
  </si>
  <si>
    <t>C1 (Total Cuti)</t>
  </si>
  <si>
    <t>C2 (Total Pengajuan)</t>
  </si>
  <si>
    <t>C3 (Approval Rate)</t>
  </si>
  <si>
    <t>C4 (Sisa Jatah)</t>
  </si>
  <si>
    <t>C5 (Masa Kerja)</t>
  </si>
  <si>
    <t>Sangat Rendah</t>
  </si>
  <si>
    <t>0 - 3 Hari</t>
  </si>
  <si>
    <t>0 - 2 Pengajuan</t>
  </si>
  <si>
    <t>&lt; 25%</t>
  </si>
  <si>
    <t>0 - 2 Hari</t>
  </si>
  <si>
    <t>&lt; 1 Tahun</t>
  </si>
  <si>
    <t>Rendah</t>
  </si>
  <si>
    <t>4 - 6 Hari</t>
  </si>
  <si>
    <t>3 - 4 Pengajuan</t>
  </si>
  <si>
    <t>26% - 50%</t>
  </si>
  <si>
    <t>3 - 5 Hari</t>
  </si>
  <si>
    <t>1 - 3 Tahun</t>
  </si>
  <si>
    <t>Sedang</t>
  </si>
  <si>
    <t>7 - 9 Hari</t>
  </si>
  <si>
    <t>5 - 6 Pengajuan</t>
  </si>
  <si>
    <t>51% - 75%</t>
  </si>
  <si>
    <t>6 - 8 Hari</t>
  </si>
  <si>
    <t>4 - 5 Tahun</t>
  </si>
  <si>
    <t>Tinggi</t>
  </si>
  <si>
    <t>10 - 12 Hari</t>
  </si>
  <si>
    <t>7 - 8 Pengajuan</t>
  </si>
  <si>
    <t>76% - 90%</t>
  </si>
  <si>
    <t>9 - 11 Hari</t>
  </si>
  <si>
    <t>6 - 10 Tahun</t>
  </si>
  <si>
    <t>Sangat Tinggi</t>
  </si>
  <si>
    <t>&gt; 12 Hari</t>
  </si>
  <si>
    <t>&gt; 8 Pengajuan</t>
  </si>
  <si>
    <t>&gt; 90%</t>
  </si>
  <si>
    <t>&gt; 11 Hari</t>
  </si>
  <si>
    <t>&gt; 10 Tahun</t>
  </si>
  <si>
    <t>Data Mentah (Decision Matrix)</t>
  </si>
  <si>
    <t>Nilai mentah karyawan yang telah ditarik dan disiapkan untuk dicari Nilai Min/Max nya.</t>
  </si>
  <si>
    <t>C1 (Hari Diambil)</t>
  </si>
  <si>
    <t>C3 (Approval %)</t>
  </si>
  <si>
    <t>Maksimal (MAX)</t>
  </si>
  <si>
    <t>Minimal (MIN)</t>
  </si>
  <si>
    <t>Kalkulasi Matriks Normalisasi (R) &amp; Preferensi (V)</t>
  </si>
  <si>
    <t xml:space="preserve">  RUMUS NORMALISASI BENEFIT: R_ij = X_ij / Max(X_ij)     |     RUMUS NORMALISASI COST: R_ij = Min(X_ij) / X_ij</t>
  </si>
  <si>
    <t xml:space="preserve">  RUMUS NILAI PREFERENSI (V): V_i = SUM(W_j * R_ij). Skor V_i Tertinggi = Prioritas Terbaik.</t>
  </si>
  <si>
    <t>R-C1</t>
  </si>
  <si>
    <t>R-C2</t>
  </si>
  <si>
    <t>R-C3</t>
  </si>
  <si>
    <t>R-C4</t>
  </si>
  <si>
    <t>R-C5</t>
  </si>
  <si>
    <t>V-C1 (*0.3)</t>
  </si>
  <si>
    <t>V-C2 (*0.2)</t>
  </si>
  <si>
    <t>V-C3 (*0.2)</t>
  </si>
  <si>
    <t>V-C4 (*0.15)</t>
  </si>
  <si>
    <t>V-C5 (*0.15)</t>
  </si>
  <si>
    <t>SKOR (Vi)</t>
  </si>
  <si>
    <t>Skor Anti-Tie</t>
  </si>
  <si>
    <t>RUMUS METODE SAW &amp; CARA HITUNGNYA</t>
  </si>
  <si>
    <t>Metode SAW memiliki 2 tahapan rumus utama:</t>
  </si>
  <si>
    <t>1. Rumus Normalisasi Matriks (Rij)</t>
  </si>
  <si>
    <t xml:space="preserve">   Tujuannya adalah menyamakan skala semua angka menjadi skala 0 sampai 1.</t>
  </si>
  <si>
    <t xml:space="preserve">   Rumusnya dibedakan berdasarkan sifat kriteria:</t>
  </si>
  <si>
    <t xml:space="preserve">   A. Untuk Kriteria Benefit (Keuntungan) -&gt; Makin besar nilainya, makin bagus skornya.</t>
  </si>
  <si>
    <t xml:space="preserve">      Rij = Xij / Max(Xij)</t>
  </si>
  <si>
    <t xml:space="preserve">      (Nilai Mentah Karyawan dibagi dengan Nilai Tertinggi dari semua karyawan)</t>
  </si>
  <si>
    <t xml:space="preserve">   B. Untuk Kriteria Cost (Beban/Biaya) -&gt; Makin kecil nilainya, makin bagus skornya.</t>
  </si>
  <si>
    <t xml:space="preserve">      Rij = Min(Xij) / Xij</t>
  </si>
  <si>
    <t xml:space="preserve">      (Nilai Terendah dari semua karyawan dibagi dengan Nilai Mentah Karyawan)</t>
  </si>
  <si>
    <t>2. Rumus Nilai Preferensi / Skor Akhir (Vi)</t>
  </si>
  <si>
    <t xml:space="preserve">   Tujuannya menggabungkan nilai skala 0-1 dengan bobot prioritas.</t>
  </si>
  <si>
    <t xml:space="preserve">   Vi = ? (Wj * Rij)</t>
  </si>
  <si>
    <t xml:space="preserve">   (Jumlah total dari: Nilai Normalisasi dikali Bobot Kriterianya)</t>
  </si>
  <si>
    <t>?? Mari Kita Terapkan ke Contoh (Rian Mulyadi):</t>
  </si>
  <si>
    <t xml:space="preserve">   Diketahui Bobot (W): W1 = 0.30, W2 = 0.20, W3 = 0.20, W4 = 0.15, W5 = 0.15</t>
  </si>
  <si>
    <t>Langkah 1: Hitung Normalisasi (R) per Kriteria</t>
  </si>
  <si>
    <t xml:space="preserve">   C1 (Total Hari Cuti) = Cost</t>
  </si>
  <si>
    <t xml:space="preserve">   Mentah = 7 | Angka Terendah/Min = 1 (Punya No. 9 Dwi Wahyuni)</t>
  </si>
  <si>
    <t xml:space="preserve">   R1 = 1 / 7 = 0.1429</t>
  </si>
  <si>
    <t xml:space="preserve">   C2 (Total Pengajuan) = Cost</t>
  </si>
  <si>
    <t xml:space="preserve">   Mentah = 8 | Angka Terendah/Min = 2 (Punya No. 13 Hendra Setiawan)</t>
  </si>
  <si>
    <t xml:space="preserve">   R2 = 2 / 8 = 0.2500</t>
  </si>
  <si>
    <t xml:space="preserve">   C3 (% Approval) = Benefit</t>
  </si>
  <si>
    <t xml:space="preserve">   Mentah = 0.75 | Angka Tertinggi/Max = 0.90 (Punya No. 5 Nina Marlina)</t>
  </si>
  <si>
    <t xml:space="preserve">   R3 = 0.75 / 0.90 = 0.8333</t>
  </si>
  <si>
    <t xml:space="preserve">   C4 (Sisa Cuti Akhir) = Benefit</t>
  </si>
  <si>
    <t xml:space="preserve">   Mentah = 10 | Angka Tertinggi/Max = 14 (Punya No. 4 Budi Santoso)</t>
  </si>
  <si>
    <t xml:space="preserve">   R4 = 10 / 14 = 0.7143</t>
  </si>
  <si>
    <t xml:space="preserve">   C5 (Masa Kerja) = Benefit</t>
  </si>
  <si>
    <t xml:space="preserve">   Mentah = 1738 | Angka Tertinggi/Max = 3686 (Punya No. 19 Arif Rahman)</t>
  </si>
  <si>
    <t xml:space="preserve">   R5 = 1738 / 3686 = 0.4715</t>
  </si>
  <si>
    <t>Langkah 2: Hitung Skor Total Akhir (V Rian)</t>
  </si>
  <si>
    <t xml:space="preserve">   Kalikan hasil Normalisasi (R) di atas dengan Bobotnya (W), lalu totalkan:</t>
  </si>
  <si>
    <t xml:space="preserve">   V = (0.30 * 0.1429) + (0.20 * 0.2500) + (0.20 * 0.8333) + (0.15 * 0.7143) + (0.15 * 0.4715)</t>
  </si>
  <si>
    <t xml:space="preserve">   V = 0.0429 + 0.0500 + 0.1667 + 0.1071 + 0.0707</t>
  </si>
  <si>
    <t xml:space="preserve">   V = 0.4374</t>
  </si>
  <si>
    <t>Hasil Rekomendasi Akhir (Otomatis Terurut)</t>
  </si>
  <si>
    <t xml:space="preserve">  RUMUS PERANKINGAN: Menggunakan fungsi =LARGE() untuk mengurutkan Nilai V_i dari yang paling tinggi ke rendah.</t>
  </si>
  <si>
    <t>Tabel Panduan Keterangan (Skala Objektif Skor Vi)</t>
  </si>
  <si>
    <t>Ranking</t>
  </si>
  <si>
    <t>Total Skor Akhir (Vi)</t>
  </si>
  <si>
    <t>Status Prioritas Cuti</t>
  </si>
  <si>
    <t>Status Prioritas</t>
  </si>
  <si>
    <t>Rentang Syarat Kelayakan</t>
  </si>
  <si>
    <t>Rekomendasi Tindakan HR / Manajer</t>
  </si>
  <si>
    <t>Prioritas Tinggi</t>
  </si>
  <si>
    <t>Skor Akhir (Vi) ≥ 0.750</t>
  </si>
  <si>
    <t>Hak cuti sangat valid secara objektif. Sangat direkomendasikan untuk di-approve oleh Manajer.</t>
  </si>
  <si>
    <t>Prioritas Sedang</t>
  </si>
  <si>
    <t>0.500 ≤ Skor Akhir (Vi) &lt; 0.750</t>
  </si>
  <si>
    <t>Cukup layak. Di-approve apabila kuota man-power pada tanggal yang diminta tidak sedang krisis.</t>
  </si>
  <si>
    <t>Prioritas Rendah</t>
  </si>
  <si>
    <t>Skor Akhir (Vi) &lt; 0.500</t>
  </si>
  <si>
    <t>Hak cuti kurang mendesak. Sebaiknya ditunda ke bulan/roster berikutnya agar operasional tidak terganggu.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</si>
</sst>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0.000"/>
  </numFmts>
  <fonts count="14">
    <font>
      <sz val="11.0"/>
      <color theme="1"/>
      <name val="Quattrocento Sans"/>
      <scheme val="minor"/>
    </font>
    <font>
      <b/>
      <sz val="16.0"/>
      <color rgb="FF1F4E78"/>
      <name val="Calibri"/>
    </font>
    <font>
      <i/>
      <sz val="11.0"/>
      <color rgb="FF595959"/>
      <name val="Calibri"/>
    </font>
    <font>
      <b/>
      <sz val="11.0"/>
      <color rgb="FFFFFFFF"/>
      <name val="Calibri"/>
    </font>
    <font>
      <sz val="11.0"/>
      <color theme="1"/>
      <name val="Calibri"/>
    </font>
    <font/>
    <font>
      <sz val="11.0"/>
      <color theme="1"/>
      <name val="Quattrocento Sans"/>
    </font>
    <font>
      <b/>
      <sz val="11.0"/>
      <color rgb="FF1E8449"/>
      <name val="Calibri"/>
    </font>
    <font>
      <b/>
      <sz val="11.0"/>
      <color rgb="FFCB4335"/>
      <name val="Calibri"/>
    </font>
    <font>
      <b/>
      <i/>
      <sz val="10.0"/>
      <color rgb="FF833C0C"/>
      <name val="Calibri"/>
    </font>
    <font>
      <b/>
      <sz val="11.0"/>
      <color theme="1"/>
      <name val="Quattrocento Sans"/>
    </font>
    <font>
      <color theme="1"/>
      <name val="Quattrocento Sans"/>
    </font>
    <font>
      <color rgb="FFFFFFFF"/>
      <name val="Quattrocento Sans"/>
    </font>
    <font>
      <b/>
      <sz val="11.0"/>
      <color rgb="FFB9770E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203764"/>
        <bgColor rgb="FF203764"/>
      </patternFill>
    </fill>
    <fill>
      <patternFill patternType="solid">
        <fgColor rgb="FFD5F5E3"/>
        <bgColor rgb="FFD5F5E3"/>
      </patternFill>
    </fill>
    <fill>
      <patternFill patternType="solid">
        <fgColor rgb="FFFADBD8"/>
        <bgColor rgb="FFFADBD8"/>
      </patternFill>
    </fill>
    <fill>
      <patternFill patternType="solid">
        <fgColor rgb="FFFCE4D6"/>
        <bgColor rgb="FFFCE4D6"/>
      </patternFill>
    </fill>
    <fill>
      <patternFill patternType="solid">
        <fgColor rgb="FFFCE5CD"/>
        <bgColor rgb="FFFCE5CD"/>
      </patternFill>
    </fill>
    <fill>
      <patternFill patternType="solid">
        <fgColor rgb="FFFBD4B4"/>
        <bgColor rgb="FFFBD4B4"/>
      </patternFill>
    </fill>
    <fill>
      <patternFill patternType="solid">
        <fgColor rgb="FFB6DDE8"/>
        <bgColor rgb="FFB6DDE8"/>
      </patternFill>
    </fill>
    <fill>
      <patternFill patternType="solid">
        <fgColor rgb="FFCCC0D9"/>
        <bgColor rgb="FFCCC0D9"/>
      </patternFill>
    </fill>
    <fill>
      <patternFill patternType="solid">
        <fgColor rgb="FFFCF3CF"/>
        <bgColor rgb="FFFCF3CF"/>
      </patternFill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Font="1"/>
    <xf borderId="1" fillId="2" fontId="3" numFmtId="0" xfId="0" applyAlignment="1" applyBorder="1" applyFill="1" applyFont="1">
      <alignment horizontal="center" vertical="center"/>
    </xf>
    <xf borderId="2" fillId="0" fontId="4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left" vertical="center"/>
    </xf>
    <xf borderId="2" fillId="0" fontId="4" numFmtId="0" xfId="0" applyAlignment="1" applyBorder="1" applyFont="1">
      <alignment horizontal="center" readingOrder="0" vertical="center"/>
    </xf>
    <xf borderId="2" fillId="0" fontId="4" numFmtId="9" xfId="0" applyAlignment="1" applyBorder="1" applyFont="1" applyNumberFormat="1">
      <alignment horizontal="center" vertical="center"/>
    </xf>
    <xf borderId="2" fillId="0" fontId="4" numFmtId="164" xfId="0" applyAlignment="1" applyBorder="1" applyFont="1" applyNumberFormat="1">
      <alignment horizontal="center" vertical="center"/>
    </xf>
    <xf borderId="2" fillId="0" fontId="4" numFmtId="1" xfId="0" applyAlignment="1" applyBorder="1" applyFont="1" applyNumberFormat="1">
      <alignment horizontal="center" vertical="center"/>
    </xf>
    <xf borderId="1" fillId="2" fontId="3" numFmtId="0" xfId="0" applyAlignment="1" applyBorder="1" applyFont="1">
      <alignment horizontal="center"/>
    </xf>
    <xf borderId="3" fillId="2" fontId="3" numFmtId="0" xfId="0" applyAlignment="1" applyBorder="1" applyFont="1">
      <alignment horizontal="center" vertical="center"/>
    </xf>
    <xf borderId="4" fillId="0" fontId="5" numFmtId="0" xfId="0" applyBorder="1" applyFont="1"/>
    <xf borderId="2" fillId="0" fontId="4" numFmtId="165" xfId="0" applyAlignment="1" applyBorder="1" applyFont="1" applyNumberFormat="1">
      <alignment horizontal="center" vertical="center"/>
    </xf>
    <xf borderId="2" fillId="0" fontId="6" numFmtId="0" xfId="0" applyAlignment="1" applyBorder="1" applyFont="1">
      <alignment shrinkToFit="0" wrapText="1"/>
    </xf>
    <xf borderId="1" fillId="3" fontId="7" numFmtId="0" xfId="0" applyAlignment="1" applyBorder="1" applyFill="1" applyFont="1">
      <alignment horizontal="center" vertical="center"/>
    </xf>
    <xf borderId="1" fillId="4" fontId="8" numFmtId="0" xfId="0" applyAlignment="1" applyBorder="1" applyFill="1" applyFont="1">
      <alignment horizontal="center" vertical="center"/>
    </xf>
    <xf borderId="3" fillId="5" fontId="9" numFmtId="0" xfId="0" applyAlignment="1" applyBorder="1" applyFill="1" applyFont="1">
      <alignment horizontal="left" vertical="center"/>
    </xf>
    <xf borderId="5" fillId="0" fontId="5" numFmtId="0" xfId="0" applyBorder="1" applyFont="1"/>
    <xf borderId="6" fillId="6" fontId="10" numFmtId="0" xfId="0" applyBorder="1" applyFill="1" applyFont="1"/>
    <xf borderId="7" fillId="6" fontId="11" numFmtId="0" xfId="0" applyBorder="1" applyFont="1"/>
    <xf borderId="8" fillId="6" fontId="11" numFmtId="0" xfId="0" applyBorder="1" applyFont="1"/>
    <xf borderId="9" fillId="6" fontId="11" numFmtId="0" xfId="0" applyBorder="1" applyFont="1"/>
    <xf borderId="0" fillId="6" fontId="11" numFmtId="0" xfId="0" applyFont="1"/>
    <xf borderId="10" fillId="6" fontId="11" numFmtId="0" xfId="0" applyBorder="1" applyFont="1"/>
    <xf borderId="11" fillId="6" fontId="11" numFmtId="0" xfId="0" applyBorder="1" applyFont="1"/>
    <xf borderId="12" fillId="6" fontId="11" numFmtId="0" xfId="0" applyBorder="1" applyFont="1"/>
    <xf borderId="13" fillId="6" fontId="11" numFmtId="0" xfId="0" applyBorder="1" applyFont="1"/>
    <xf borderId="0" fillId="0" fontId="10" numFmtId="0" xfId="0" applyFont="1"/>
    <xf borderId="14" fillId="7" fontId="10" numFmtId="0" xfId="0" applyBorder="1" applyFill="1" applyFont="1"/>
    <xf borderId="15" fillId="7" fontId="6" numFmtId="0" xfId="0" applyBorder="1" applyFont="1"/>
    <xf borderId="16" fillId="7" fontId="6" numFmtId="0" xfId="0" applyBorder="1" applyFont="1"/>
    <xf borderId="17" fillId="7" fontId="6" numFmtId="0" xfId="0" applyBorder="1" applyFont="1"/>
    <xf borderId="18" fillId="7" fontId="6" numFmtId="0" xfId="0" applyBorder="1" applyFont="1"/>
    <xf borderId="19" fillId="7" fontId="6" numFmtId="0" xfId="0" applyBorder="1" applyFont="1"/>
    <xf borderId="17" fillId="7" fontId="10" numFmtId="0" xfId="0" applyBorder="1" applyFont="1"/>
    <xf borderId="20" fillId="7" fontId="6" numFmtId="0" xfId="0" applyBorder="1" applyFont="1"/>
    <xf borderId="21" fillId="7" fontId="6" numFmtId="0" xfId="0" applyBorder="1" applyFont="1"/>
    <xf borderId="22" fillId="7" fontId="6" numFmtId="0" xfId="0" applyBorder="1" applyFont="1"/>
    <xf borderId="14" fillId="8" fontId="10" numFmtId="0" xfId="0" applyBorder="1" applyFill="1" applyFont="1"/>
    <xf borderId="15" fillId="8" fontId="6" numFmtId="0" xfId="0" applyBorder="1" applyFont="1"/>
    <xf borderId="16" fillId="8" fontId="6" numFmtId="0" xfId="0" applyBorder="1" applyFont="1"/>
    <xf borderId="17" fillId="8" fontId="6" numFmtId="0" xfId="0" applyBorder="1" applyFont="1"/>
    <xf borderId="18" fillId="8" fontId="6" numFmtId="0" xfId="0" applyBorder="1" applyFont="1"/>
    <xf borderId="19" fillId="8" fontId="6" numFmtId="0" xfId="0" applyBorder="1" applyFont="1"/>
    <xf borderId="17" fillId="8" fontId="10" numFmtId="0" xfId="0" applyBorder="1" applyFont="1"/>
    <xf borderId="20" fillId="8" fontId="10" numFmtId="0" xfId="0" applyBorder="1" applyFont="1"/>
    <xf borderId="21" fillId="8" fontId="6" numFmtId="0" xfId="0" applyBorder="1" applyFont="1"/>
    <xf borderId="22" fillId="8" fontId="6" numFmtId="0" xfId="0" applyBorder="1" applyFont="1"/>
    <xf borderId="14" fillId="9" fontId="10" numFmtId="0" xfId="0" applyBorder="1" applyFill="1" applyFont="1"/>
    <xf borderId="15" fillId="9" fontId="6" numFmtId="0" xfId="0" applyBorder="1" applyFont="1"/>
    <xf borderId="16" fillId="9" fontId="6" numFmtId="0" xfId="0" applyBorder="1" applyFont="1"/>
    <xf borderId="17" fillId="9" fontId="6" numFmtId="0" xfId="0" applyBorder="1" applyFont="1"/>
    <xf borderId="18" fillId="9" fontId="6" numFmtId="0" xfId="0" applyBorder="1" applyFont="1"/>
    <xf borderId="19" fillId="9" fontId="6" numFmtId="0" xfId="0" applyBorder="1" applyFont="1"/>
    <xf borderId="17" fillId="9" fontId="10" numFmtId="0" xfId="0" applyBorder="1" applyFont="1"/>
    <xf borderId="20" fillId="9" fontId="6" numFmtId="0" xfId="0" applyBorder="1" applyFont="1"/>
    <xf borderId="21" fillId="9" fontId="6" numFmtId="0" xfId="0" applyBorder="1" applyFont="1"/>
    <xf borderId="22" fillId="9" fontId="6" numFmtId="0" xfId="0" applyBorder="1" applyFont="1"/>
    <xf borderId="0" fillId="0" fontId="12" numFmtId="0" xfId="0" applyFont="1"/>
    <xf borderId="2" fillId="0" fontId="4" numFmtId="0" xfId="0" applyAlignment="1" applyBorder="1" applyFont="1">
      <alignment horizontal="center" vertical="center"/>
    </xf>
    <xf borderId="2" fillId="0" fontId="4" numFmtId="165" xfId="0" applyAlignment="1" applyBorder="1" applyFont="1" applyNumberFormat="1">
      <alignment horizontal="center" vertical="center"/>
    </xf>
    <xf borderId="2" fillId="0" fontId="4" numFmtId="0" xfId="0" applyAlignment="1" applyBorder="1" applyFont="1">
      <alignment horizontal="left" vertical="center"/>
    </xf>
    <xf borderId="1" fillId="10" fontId="13" numFmtId="0" xfId="0" applyAlignment="1" applyBorder="1" applyFill="1" applyFont="1">
      <alignment horizontal="center" vertic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>
        <b/>
        <color rgb="FF1E8449"/>
      </font>
      <fill>
        <patternFill patternType="solid">
          <fgColor rgb="FFD5F5E3"/>
          <bgColor rgb="FFD5F5E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rgb="FFB9770E"/>
      </font>
      <fill>
        <patternFill patternType="solid">
          <fgColor rgb="FFFCF3CF"/>
          <bgColor rgb="FFFCF3C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rgb="FFCB4335"/>
      </font>
      <fill>
        <patternFill patternType="solid">
          <fgColor rgb="FFFADBD8"/>
          <bgColor rgb="FFFADBD8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1">
    <tableStyle count="3" pivot="0" name="4. Ranking &amp; Keputusan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5:G25" displayName="Table_1" name="Table_1" id="1">
  <tableColumns count="6">
    <tableColumn name="No." id="1"/>
    <tableColumn name="Ranking" id="2"/>
    <tableColumn name="Total Skor Akhir (Vi)" id="3"/>
    <tableColumn name="Employee ID" id="4"/>
    <tableColumn name="Employee Name" id="5"/>
    <tableColumn name="Status Prioritas Cuti" id="6"/>
  </tableColumns>
  <tableStyleInfo name="4. Ranking &amp; Keputus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Quattrocento Sans"/>
        <a:ea typeface="Quattrocento Sans"/>
        <a:cs typeface="Quattrocento Sans"/>
      </a:majorFont>
      <a:minorFont>
        <a:latin typeface="Quattrocento Sans"/>
        <a:ea typeface="Quattrocento Sans"/>
        <a:cs typeface="Quattrocento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5.75"/>
    <col customWidth="1" min="2" max="2" width="8.75"/>
    <col customWidth="1" min="3" max="5" width="16.75"/>
    <col customWidth="1" min="6" max="6" width="22.75"/>
    <col customWidth="1" min="7" max="16" width="16.75"/>
  </cols>
  <sheetData>
    <row r="1" ht="16.5" customHeight="1"/>
    <row r="2" ht="16.5" customHeight="1">
      <c r="B2" s="1" t="s">
        <v>0</v>
      </c>
    </row>
    <row r="3" ht="16.5" customHeight="1">
      <c r="B3" s="2" t="s">
        <v>1</v>
      </c>
    </row>
    <row r="4" ht="16.5" customHeight="1"/>
    <row r="5" ht="16.5" customHeight="1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  <c r="M5" s="3" t="s">
        <v>13</v>
      </c>
      <c r="N5" s="3" t="s">
        <v>14</v>
      </c>
      <c r="O5" s="3" t="s">
        <v>15</v>
      </c>
      <c r="P5" s="3" t="s">
        <v>16</v>
      </c>
    </row>
    <row r="6" ht="16.5" customHeight="1">
      <c r="B6" s="4">
        <v>1.0</v>
      </c>
      <c r="C6" s="4" t="s">
        <v>17</v>
      </c>
      <c r="D6" s="5" t="s">
        <v>18</v>
      </c>
      <c r="E6" s="5" t="s">
        <v>19</v>
      </c>
      <c r="F6" s="4">
        <v>7.0</v>
      </c>
      <c r="G6" s="4">
        <v>8.0</v>
      </c>
      <c r="H6" s="4">
        <v>6.0</v>
      </c>
      <c r="I6" s="6">
        <v>1.0</v>
      </c>
      <c r="J6" s="7">
        <f t="shared" ref="J6:J25" si="1">H6/G6</f>
        <v>0.75</v>
      </c>
      <c r="K6" s="4">
        <v>12.0</v>
      </c>
      <c r="L6" s="4">
        <v>5.0</v>
      </c>
      <c r="M6" s="4">
        <v>7.0</v>
      </c>
      <c r="N6" s="4">
        <f t="shared" ref="N6:N25" si="2">(K6+L6)-M6</f>
        <v>10</v>
      </c>
      <c r="O6" s="8">
        <v>44412.0</v>
      </c>
      <c r="P6" s="9">
        <f t="shared" ref="P6:P25" si="3">TODAY()-O6</f>
        <v>1779</v>
      </c>
    </row>
    <row r="7" ht="16.5" customHeight="1">
      <c r="B7" s="4">
        <v>2.0</v>
      </c>
      <c r="C7" s="4" t="s">
        <v>20</v>
      </c>
      <c r="D7" s="5" t="s">
        <v>21</v>
      </c>
      <c r="E7" s="5" t="s">
        <v>22</v>
      </c>
      <c r="F7" s="4">
        <v>13.0</v>
      </c>
      <c r="G7" s="4">
        <v>3.0</v>
      </c>
      <c r="H7" s="4">
        <v>0.0</v>
      </c>
      <c r="I7" s="4">
        <v>3.0</v>
      </c>
      <c r="J7" s="7">
        <f t="shared" si="1"/>
        <v>0</v>
      </c>
      <c r="K7" s="4">
        <v>12.0</v>
      </c>
      <c r="L7" s="4">
        <v>4.0</v>
      </c>
      <c r="M7" s="4">
        <v>13.0</v>
      </c>
      <c r="N7" s="4">
        <f t="shared" si="2"/>
        <v>3</v>
      </c>
      <c r="O7" s="8">
        <v>42970.0</v>
      </c>
      <c r="P7" s="9">
        <f t="shared" si="3"/>
        <v>3221</v>
      </c>
    </row>
    <row r="8" ht="16.5" customHeight="1">
      <c r="B8" s="4">
        <v>3.0</v>
      </c>
      <c r="C8" s="4" t="s">
        <v>23</v>
      </c>
      <c r="D8" s="5" t="s">
        <v>24</v>
      </c>
      <c r="E8" s="5" t="s">
        <v>25</v>
      </c>
      <c r="F8" s="4">
        <v>2.0</v>
      </c>
      <c r="G8" s="4">
        <v>9.0</v>
      </c>
      <c r="H8" s="4">
        <v>7.0</v>
      </c>
      <c r="I8" s="4">
        <v>2.0</v>
      </c>
      <c r="J8" s="7">
        <f t="shared" si="1"/>
        <v>0.7777777778</v>
      </c>
      <c r="K8" s="4">
        <v>12.0</v>
      </c>
      <c r="L8" s="4">
        <v>4.0</v>
      </c>
      <c r="M8" s="4">
        <v>2.0</v>
      </c>
      <c r="N8" s="4">
        <f t="shared" si="2"/>
        <v>14</v>
      </c>
      <c r="O8" s="8">
        <v>42633.0</v>
      </c>
      <c r="P8" s="9">
        <f t="shared" si="3"/>
        <v>3558</v>
      </c>
    </row>
    <row r="9" ht="16.5" customHeight="1">
      <c r="B9" s="4">
        <v>4.0</v>
      </c>
      <c r="C9" s="4" t="s">
        <v>26</v>
      </c>
      <c r="D9" s="5" t="s">
        <v>27</v>
      </c>
      <c r="E9" s="5" t="s">
        <v>28</v>
      </c>
      <c r="F9" s="4">
        <v>14.0</v>
      </c>
      <c r="G9" s="4">
        <v>8.0</v>
      </c>
      <c r="H9" s="4">
        <v>6.0</v>
      </c>
      <c r="I9" s="4">
        <v>2.0</v>
      </c>
      <c r="J9" s="7">
        <f t="shared" si="1"/>
        <v>0.75</v>
      </c>
      <c r="K9" s="4">
        <v>12.0</v>
      </c>
      <c r="L9" s="4">
        <v>2.0</v>
      </c>
      <c r="M9" s="4">
        <v>14.0</v>
      </c>
      <c r="N9" s="4">
        <f t="shared" si="2"/>
        <v>0</v>
      </c>
      <c r="O9" s="8">
        <v>43254.0</v>
      </c>
      <c r="P9" s="9">
        <f t="shared" si="3"/>
        <v>2937</v>
      </c>
    </row>
    <row r="10" ht="16.5" customHeight="1">
      <c r="B10" s="4">
        <v>5.0</v>
      </c>
      <c r="C10" s="4" t="s">
        <v>29</v>
      </c>
      <c r="D10" s="5" t="s">
        <v>30</v>
      </c>
      <c r="E10" s="5" t="s">
        <v>31</v>
      </c>
      <c r="F10" s="4">
        <v>2.0</v>
      </c>
      <c r="G10" s="4">
        <v>10.0</v>
      </c>
      <c r="H10" s="4">
        <v>9.0</v>
      </c>
      <c r="I10" s="4">
        <v>1.0</v>
      </c>
      <c r="J10" s="7">
        <f t="shared" si="1"/>
        <v>0.9</v>
      </c>
      <c r="K10" s="4">
        <v>12.0</v>
      </c>
      <c r="L10" s="4">
        <v>4.0</v>
      </c>
      <c r="M10" s="4">
        <v>2.0</v>
      </c>
      <c r="N10" s="4">
        <f t="shared" si="2"/>
        <v>14</v>
      </c>
      <c r="O10" s="8">
        <v>43849.0</v>
      </c>
      <c r="P10" s="9">
        <f t="shared" si="3"/>
        <v>2342</v>
      </c>
    </row>
    <row r="11" ht="16.5" customHeight="1">
      <c r="B11" s="4">
        <v>6.0</v>
      </c>
      <c r="C11" s="4" t="s">
        <v>32</v>
      </c>
      <c r="D11" s="5" t="s">
        <v>33</v>
      </c>
      <c r="E11" s="5" t="s">
        <v>34</v>
      </c>
      <c r="F11" s="4">
        <v>9.0</v>
      </c>
      <c r="G11" s="4">
        <v>4.0</v>
      </c>
      <c r="H11" s="4">
        <v>0.0</v>
      </c>
      <c r="I11" s="6">
        <v>1.0</v>
      </c>
      <c r="J11" s="7">
        <f t="shared" si="1"/>
        <v>0</v>
      </c>
      <c r="K11" s="4">
        <v>12.0</v>
      </c>
      <c r="L11" s="4">
        <v>2.0</v>
      </c>
      <c r="M11" s="4">
        <v>9.0</v>
      </c>
      <c r="N11" s="4">
        <f t="shared" si="2"/>
        <v>5</v>
      </c>
      <c r="O11" s="8">
        <v>43660.0</v>
      </c>
      <c r="P11" s="9">
        <f t="shared" si="3"/>
        <v>2531</v>
      </c>
    </row>
    <row r="12" ht="16.5" customHeight="1">
      <c r="B12" s="4">
        <v>7.0</v>
      </c>
      <c r="C12" s="4" t="s">
        <v>35</v>
      </c>
      <c r="D12" s="5" t="s">
        <v>36</v>
      </c>
      <c r="E12" s="5" t="s">
        <v>37</v>
      </c>
      <c r="F12" s="4">
        <v>9.0</v>
      </c>
      <c r="G12" s="4">
        <v>5.0</v>
      </c>
      <c r="H12" s="4">
        <v>0.0</v>
      </c>
      <c r="I12" s="6">
        <v>1.0</v>
      </c>
      <c r="J12" s="7">
        <f t="shared" si="1"/>
        <v>0</v>
      </c>
      <c r="K12" s="4">
        <v>12.0</v>
      </c>
      <c r="L12" s="4">
        <v>4.0</v>
      </c>
      <c r="M12" s="4">
        <v>9.0</v>
      </c>
      <c r="N12" s="4">
        <f t="shared" si="2"/>
        <v>7</v>
      </c>
      <c r="O12" s="8">
        <v>44934.0</v>
      </c>
      <c r="P12" s="9">
        <f t="shared" si="3"/>
        <v>1257</v>
      </c>
    </row>
    <row r="13" ht="16.5" customHeight="1">
      <c r="B13" s="4">
        <v>8.0</v>
      </c>
      <c r="C13" s="4" t="s">
        <v>38</v>
      </c>
      <c r="D13" s="5" t="s">
        <v>39</v>
      </c>
      <c r="E13" s="5" t="s">
        <v>40</v>
      </c>
      <c r="F13" s="4">
        <v>15.0</v>
      </c>
      <c r="G13" s="4">
        <v>4.0</v>
      </c>
      <c r="H13" s="4">
        <v>0.0</v>
      </c>
      <c r="I13" s="6">
        <v>1.0</v>
      </c>
      <c r="J13" s="7">
        <f t="shared" si="1"/>
        <v>0</v>
      </c>
      <c r="K13" s="4">
        <v>12.0</v>
      </c>
      <c r="L13" s="4">
        <v>5.0</v>
      </c>
      <c r="M13" s="4">
        <v>15.0</v>
      </c>
      <c r="N13" s="4">
        <f t="shared" si="2"/>
        <v>2</v>
      </c>
      <c r="O13" s="8">
        <v>44417.0</v>
      </c>
      <c r="P13" s="9">
        <f t="shared" si="3"/>
        <v>1774</v>
      </c>
    </row>
    <row r="14" ht="16.5" customHeight="1">
      <c r="B14" s="4">
        <v>9.0</v>
      </c>
      <c r="C14" s="4" t="s">
        <v>41</v>
      </c>
      <c r="D14" s="5" t="s">
        <v>42</v>
      </c>
      <c r="E14" s="5" t="s">
        <v>43</v>
      </c>
      <c r="F14" s="4">
        <v>1.0</v>
      </c>
      <c r="G14" s="4">
        <v>3.0</v>
      </c>
      <c r="H14" s="4">
        <v>2.0</v>
      </c>
      <c r="I14" s="4">
        <v>1.0</v>
      </c>
      <c r="J14" s="7">
        <f t="shared" si="1"/>
        <v>0.6666666667</v>
      </c>
      <c r="K14" s="4">
        <v>12.0</v>
      </c>
      <c r="L14" s="4">
        <v>2.0</v>
      </c>
      <c r="M14" s="4">
        <v>1.0</v>
      </c>
      <c r="N14" s="4">
        <f t="shared" si="2"/>
        <v>13</v>
      </c>
      <c r="O14" s="8">
        <v>43204.0</v>
      </c>
      <c r="P14" s="9">
        <f t="shared" si="3"/>
        <v>2987</v>
      </c>
    </row>
    <row r="15" ht="16.5" customHeight="1">
      <c r="B15" s="4">
        <v>10.0</v>
      </c>
      <c r="C15" s="4" t="s">
        <v>44</v>
      </c>
      <c r="D15" s="5" t="s">
        <v>45</v>
      </c>
      <c r="E15" s="5" t="s">
        <v>46</v>
      </c>
      <c r="F15" s="4">
        <v>14.0</v>
      </c>
      <c r="G15" s="4">
        <v>8.0</v>
      </c>
      <c r="H15" s="4">
        <v>7.0</v>
      </c>
      <c r="I15" s="4">
        <v>1.0</v>
      </c>
      <c r="J15" s="7">
        <f t="shared" si="1"/>
        <v>0.875</v>
      </c>
      <c r="K15" s="4">
        <v>12.0</v>
      </c>
      <c r="L15" s="4">
        <v>2.0</v>
      </c>
      <c r="M15" s="4">
        <v>14.0</v>
      </c>
      <c r="N15" s="4">
        <f t="shared" si="2"/>
        <v>0</v>
      </c>
      <c r="O15" s="8">
        <v>43876.0</v>
      </c>
      <c r="P15" s="9">
        <f t="shared" si="3"/>
        <v>2315</v>
      </c>
    </row>
    <row r="16" ht="16.5" customHeight="1">
      <c r="B16" s="4">
        <v>11.0</v>
      </c>
      <c r="C16" s="4" t="s">
        <v>47</v>
      </c>
      <c r="D16" s="5" t="s">
        <v>48</v>
      </c>
      <c r="E16" s="5" t="s">
        <v>49</v>
      </c>
      <c r="F16" s="4">
        <v>6.0</v>
      </c>
      <c r="G16" s="4">
        <v>5.0</v>
      </c>
      <c r="H16" s="4">
        <v>0.0</v>
      </c>
      <c r="I16" s="6">
        <v>1.0</v>
      </c>
      <c r="J16" s="7">
        <f t="shared" si="1"/>
        <v>0</v>
      </c>
      <c r="K16" s="4">
        <v>12.0</v>
      </c>
      <c r="L16" s="4">
        <v>4.0</v>
      </c>
      <c r="M16" s="4">
        <v>6.0</v>
      </c>
      <c r="N16" s="4">
        <f t="shared" si="2"/>
        <v>10</v>
      </c>
      <c r="O16" s="8">
        <v>44322.0</v>
      </c>
      <c r="P16" s="9">
        <f t="shared" si="3"/>
        <v>1869</v>
      </c>
    </row>
    <row r="17" ht="16.5" customHeight="1">
      <c r="B17" s="4">
        <v>12.0</v>
      </c>
      <c r="C17" s="4" t="s">
        <v>50</v>
      </c>
      <c r="D17" s="5" t="s">
        <v>51</v>
      </c>
      <c r="E17" s="5" t="s">
        <v>52</v>
      </c>
      <c r="F17" s="4">
        <v>8.0</v>
      </c>
      <c r="G17" s="4">
        <v>6.0</v>
      </c>
      <c r="H17" s="4">
        <v>1.0</v>
      </c>
      <c r="I17" s="6">
        <v>1.0</v>
      </c>
      <c r="J17" s="7">
        <f t="shared" si="1"/>
        <v>0.1666666667</v>
      </c>
      <c r="K17" s="4">
        <v>12.0</v>
      </c>
      <c r="L17" s="4">
        <v>4.0</v>
      </c>
      <c r="M17" s="4">
        <v>8.0</v>
      </c>
      <c r="N17" s="4">
        <f t="shared" si="2"/>
        <v>8</v>
      </c>
      <c r="O17" s="8">
        <v>44627.0</v>
      </c>
      <c r="P17" s="9">
        <f t="shared" si="3"/>
        <v>1564</v>
      </c>
    </row>
    <row r="18" ht="16.5" customHeight="1">
      <c r="B18" s="4">
        <v>13.0</v>
      </c>
      <c r="C18" s="4" t="s">
        <v>53</v>
      </c>
      <c r="D18" s="5" t="s">
        <v>54</v>
      </c>
      <c r="E18" s="5" t="s">
        <v>55</v>
      </c>
      <c r="F18" s="4">
        <v>15.0</v>
      </c>
      <c r="G18" s="4">
        <v>2.0</v>
      </c>
      <c r="H18" s="4">
        <v>0.0</v>
      </c>
      <c r="I18" s="4">
        <v>2.0</v>
      </c>
      <c r="J18" s="7">
        <f t="shared" si="1"/>
        <v>0</v>
      </c>
      <c r="K18" s="4">
        <v>12.0</v>
      </c>
      <c r="L18" s="4">
        <v>5.0</v>
      </c>
      <c r="M18" s="4">
        <v>15.0</v>
      </c>
      <c r="N18" s="4">
        <f t="shared" si="2"/>
        <v>2</v>
      </c>
      <c r="O18" s="8">
        <v>44528.0</v>
      </c>
      <c r="P18" s="9">
        <f t="shared" si="3"/>
        <v>1663</v>
      </c>
    </row>
    <row r="19" ht="16.5" customHeight="1">
      <c r="B19" s="4">
        <v>14.0</v>
      </c>
      <c r="C19" s="4" t="s">
        <v>56</v>
      </c>
      <c r="D19" s="5" t="s">
        <v>57</v>
      </c>
      <c r="E19" s="5" t="s">
        <v>58</v>
      </c>
      <c r="F19" s="4">
        <v>2.0</v>
      </c>
      <c r="G19" s="4">
        <v>3.0</v>
      </c>
      <c r="H19" s="4">
        <v>1.0</v>
      </c>
      <c r="I19" s="4">
        <v>2.0</v>
      </c>
      <c r="J19" s="7">
        <f t="shared" si="1"/>
        <v>0.3333333333</v>
      </c>
      <c r="K19" s="4">
        <v>12.0</v>
      </c>
      <c r="L19" s="4">
        <v>3.0</v>
      </c>
      <c r="M19" s="4">
        <v>2.0</v>
      </c>
      <c r="N19" s="4">
        <f t="shared" si="2"/>
        <v>13</v>
      </c>
      <c r="O19" s="8">
        <v>44431.0</v>
      </c>
      <c r="P19" s="9">
        <f t="shared" si="3"/>
        <v>1760</v>
      </c>
    </row>
    <row r="20" ht="16.5" customHeight="1">
      <c r="B20" s="4">
        <v>15.0</v>
      </c>
      <c r="C20" s="4" t="s">
        <v>59</v>
      </c>
      <c r="D20" s="5" t="s">
        <v>60</v>
      </c>
      <c r="E20" s="5" t="s">
        <v>61</v>
      </c>
      <c r="F20" s="4">
        <v>15.0</v>
      </c>
      <c r="G20" s="4">
        <v>5.0</v>
      </c>
      <c r="H20" s="4">
        <v>0.0</v>
      </c>
      <c r="I20" s="6">
        <v>1.0</v>
      </c>
      <c r="J20" s="7">
        <f t="shared" si="1"/>
        <v>0</v>
      </c>
      <c r="K20" s="4">
        <v>12.0</v>
      </c>
      <c r="L20" s="4">
        <v>3.0</v>
      </c>
      <c r="M20" s="4">
        <v>15.0</v>
      </c>
      <c r="N20" s="4">
        <f t="shared" si="2"/>
        <v>0</v>
      </c>
      <c r="O20" s="8">
        <v>43100.0</v>
      </c>
      <c r="P20" s="9">
        <f t="shared" si="3"/>
        <v>3091</v>
      </c>
    </row>
    <row r="21" ht="16.5" customHeight="1">
      <c r="B21" s="4">
        <v>16.0</v>
      </c>
      <c r="C21" s="4" t="s">
        <v>62</v>
      </c>
      <c r="D21" s="5" t="s">
        <v>63</v>
      </c>
      <c r="E21" s="5" t="s">
        <v>64</v>
      </c>
      <c r="F21" s="4">
        <v>2.0</v>
      </c>
      <c r="G21" s="4">
        <v>7.0</v>
      </c>
      <c r="H21" s="4">
        <v>5.0</v>
      </c>
      <c r="I21" s="4">
        <v>2.0</v>
      </c>
      <c r="J21" s="7">
        <f t="shared" si="1"/>
        <v>0.7142857143</v>
      </c>
      <c r="K21" s="4">
        <v>12.0</v>
      </c>
      <c r="L21" s="4">
        <v>1.0</v>
      </c>
      <c r="M21" s="4">
        <v>2.0</v>
      </c>
      <c r="N21" s="4">
        <f t="shared" si="2"/>
        <v>11</v>
      </c>
      <c r="O21" s="8">
        <v>43091.0</v>
      </c>
      <c r="P21" s="9">
        <f t="shared" si="3"/>
        <v>3100</v>
      </c>
    </row>
    <row r="22" ht="16.5" customHeight="1">
      <c r="B22" s="4">
        <v>17.0</v>
      </c>
      <c r="C22" s="4" t="s">
        <v>65</v>
      </c>
      <c r="D22" s="5" t="s">
        <v>66</v>
      </c>
      <c r="E22" s="5" t="s">
        <v>67</v>
      </c>
      <c r="F22" s="4">
        <v>6.0</v>
      </c>
      <c r="G22" s="4">
        <v>5.0</v>
      </c>
      <c r="H22" s="4">
        <v>1.0</v>
      </c>
      <c r="I22" s="6">
        <v>1.0</v>
      </c>
      <c r="J22" s="7">
        <f t="shared" si="1"/>
        <v>0.2</v>
      </c>
      <c r="K22" s="4">
        <v>12.0</v>
      </c>
      <c r="L22" s="4">
        <v>4.0</v>
      </c>
      <c r="M22" s="4">
        <v>6.0</v>
      </c>
      <c r="N22" s="4">
        <f t="shared" si="2"/>
        <v>10</v>
      </c>
      <c r="O22" s="8">
        <v>43765.0</v>
      </c>
      <c r="P22" s="9">
        <f t="shared" si="3"/>
        <v>2426</v>
      </c>
    </row>
    <row r="23" ht="16.5" customHeight="1">
      <c r="B23" s="4">
        <v>18.0</v>
      </c>
      <c r="C23" s="4" t="s">
        <v>68</v>
      </c>
      <c r="D23" s="5" t="s">
        <v>69</v>
      </c>
      <c r="E23" s="5" t="s">
        <v>70</v>
      </c>
      <c r="F23" s="4">
        <v>7.0</v>
      </c>
      <c r="G23" s="4">
        <v>7.0</v>
      </c>
      <c r="H23" s="4">
        <v>2.0</v>
      </c>
      <c r="I23" s="6">
        <v>1.0</v>
      </c>
      <c r="J23" s="7">
        <f t="shared" si="1"/>
        <v>0.2857142857</v>
      </c>
      <c r="K23" s="4">
        <v>12.0</v>
      </c>
      <c r="L23" s="4">
        <v>1.0</v>
      </c>
      <c r="M23" s="4">
        <v>7.0</v>
      </c>
      <c r="N23" s="4">
        <f t="shared" si="2"/>
        <v>6</v>
      </c>
      <c r="O23" s="8">
        <v>44402.0</v>
      </c>
      <c r="P23" s="9">
        <f t="shared" si="3"/>
        <v>1789</v>
      </c>
    </row>
    <row r="24" ht="16.5" customHeight="1">
      <c r="B24" s="4">
        <v>19.0</v>
      </c>
      <c r="C24" s="4" t="s">
        <v>71</v>
      </c>
      <c r="D24" s="5" t="s">
        <v>72</v>
      </c>
      <c r="E24" s="5" t="s">
        <v>73</v>
      </c>
      <c r="F24" s="4">
        <v>13.0</v>
      </c>
      <c r="G24" s="4">
        <v>9.0</v>
      </c>
      <c r="H24" s="4">
        <v>7.0</v>
      </c>
      <c r="I24" s="6">
        <v>2.0</v>
      </c>
      <c r="J24" s="7">
        <f t="shared" si="1"/>
        <v>0.7777777778</v>
      </c>
      <c r="K24" s="4">
        <v>12.0</v>
      </c>
      <c r="L24" s="4">
        <v>3.0</v>
      </c>
      <c r="M24" s="4">
        <v>13.0</v>
      </c>
      <c r="N24" s="4">
        <f t="shared" si="2"/>
        <v>2</v>
      </c>
      <c r="O24" s="8">
        <v>42464.0</v>
      </c>
      <c r="P24" s="9">
        <f t="shared" si="3"/>
        <v>3727</v>
      </c>
    </row>
    <row r="25" ht="16.5" customHeight="1">
      <c r="B25" s="4">
        <v>20.0</v>
      </c>
      <c r="C25" s="4" t="s">
        <v>74</v>
      </c>
      <c r="D25" s="5" t="s">
        <v>75</v>
      </c>
      <c r="E25" s="5" t="s">
        <v>76</v>
      </c>
      <c r="F25" s="4">
        <v>2.0</v>
      </c>
      <c r="G25" s="4">
        <v>7.0</v>
      </c>
      <c r="H25" s="4">
        <v>5.0</v>
      </c>
      <c r="I25" s="4">
        <v>2.0</v>
      </c>
      <c r="J25" s="7">
        <f t="shared" si="1"/>
        <v>0.7142857143</v>
      </c>
      <c r="K25" s="4">
        <v>12.0</v>
      </c>
      <c r="L25" s="4">
        <v>2.0</v>
      </c>
      <c r="M25" s="4">
        <v>2.0</v>
      </c>
      <c r="N25" s="4">
        <f t="shared" si="2"/>
        <v>12</v>
      </c>
      <c r="O25" s="8">
        <v>43573.0</v>
      </c>
      <c r="P25" s="9">
        <f t="shared" si="3"/>
        <v>2618</v>
      </c>
    </row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5.75"/>
    <col customWidth="1" min="2" max="6" width="20.75"/>
    <col customWidth="1" min="7" max="7" width="41.13"/>
    <col customWidth="1" min="8" max="9" width="35.75"/>
    <col customWidth="1" min="10" max="10" width="52.38"/>
  </cols>
  <sheetData>
    <row r="1" ht="16.5" customHeight="1"/>
    <row r="2" ht="16.5" customHeight="1">
      <c r="B2" s="1" t="s">
        <v>77</v>
      </c>
    </row>
    <row r="3" ht="16.5" customHeight="1">
      <c r="B3" s="2" t="s">
        <v>78</v>
      </c>
    </row>
    <row r="4" ht="16.5" customHeight="1"/>
    <row r="5" ht="16.5" customHeight="1">
      <c r="B5" s="3" t="s">
        <v>79</v>
      </c>
      <c r="C5" s="3" t="s">
        <v>80</v>
      </c>
      <c r="D5" s="3" t="s">
        <v>81</v>
      </c>
      <c r="E5" s="3" t="s">
        <v>82</v>
      </c>
      <c r="F5" s="3" t="s">
        <v>83</v>
      </c>
      <c r="G5" s="10" t="s">
        <v>84</v>
      </c>
      <c r="I5" s="11" t="s">
        <v>85</v>
      </c>
      <c r="J5" s="12"/>
    </row>
    <row r="6">
      <c r="B6" s="4" t="s">
        <v>86</v>
      </c>
      <c r="C6" s="4" t="s">
        <v>87</v>
      </c>
      <c r="D6" s="4" t="s">
        <v>88</v>
      </c>
      <c r="E6" s="7">
        <v>0.3</v>
      </c>
      <c r="F6" s="13">
        <v>0.3</v>
      </c>
      <c r="G6" s="14" t="s">
        <v>89</v>
      </c>
      <c r="I6" s="15" t="s">
        <v>90</v>
      </c>
      <c r="J6" s="5" t="s">
        <v>91</v>
      </c>
    </row>
    <row r="7">
      <c r="B7" s="4" t="s">
        <v>92</v>
      </c>
      <c r="C7" s="4" t="s">
        <v>7</v>
      </c>
      <c r="D7" s="4" t="s">
        <v>88</v>
      </c>
      <c r="E7" s="7">
        <v>0.2</v>
      </c>
      <c r="F7" s="13">
        <v>0.2</v>
      </c>
      <c r="G7" s="14" t="s">
        <v>93</v>
      </c>
      <c r="I7" s="16" t="s">
        <v>94</v>
      </c>
      <c r="J7" s="5" t="s">
        <v>95</v>
      </c>
    </row>
    <row r="8">
      <c r="B8" s="4" t="s">
        <v>96</v>
      </c>
      <c r="C8" s="4" t="s">
        <v>97</v>
      </c>
      <c r="D8" s="4" t="s">
        <v>98</v>
      </c>
      <c r="E8" s="7">
        <v>0.2</v>
      </c>
      <c r="F8" s="13">
        <v>0.2</v>
      </c>
      <c r="G8" s="14" t="s">
        <v>99</v>
      </c>
    </row>
    <row r="9">
      <c r="B9" s="4" t="s">
        <v>100</v>
      </c>
      <c r="C9" s="4" t="s">
        <v>14</v>
      </c>
      <c r="D9" s="4" t="s">
        <v>98</v>
      </c>
      <c r="E9" s="7">
        <v>0.15</v>
      </c>
      <c r="F9" s="13">
        <v>0.15</v>
      </c>
      <c r="G9" s="14" t="s">
        <v>101</v>
      </c>
    </row>
    <row r="10">
      <c r="B10" s="4" t="s">
        <v>102</v>
      </c>
      <c r="C10" s="4" t="s">
        <v>16</v>
      </c>
      <c r="D10" s="4" t="s">
        <v>98</v>
      </c>
      <c r="E10" s="7">
        <v>0.15</v>
      </c>
      <c r="F10" s="13">
        <v>0.15</v>
      </c>
      <c r="G10" s="14" t="s">
        <v>103</v>
      </c>
    </row>
    <row r="11" ht="16.5" customHeight="1"/>
    <row r="12" ht="16.5" customHeight="1"/>
    <row r="13" ht="16.5" customHeight="1">
      <c r="B13" s="1" t="s">
        <v>104</v>
      </c>
    </row>
    <row r="14" ht="16.5" customHeight="1">
      <c r="B14" s="2" t="s">
        <v>105</v>
      </c>
    </row>
    <row r="15" ht="16.5" customHeight="1"/>
    <row r="16" ht="16.5" customHeight="1">
      <c r="B16" s="3" t="s">
        <v>106</v>
      </c>
      <c r="C16" s="3" t="s">
        <v>107</v>
      </c>
      <c r="D16" s="3" t="s">
        <v>108</v>
      </c>
      <c r="E16" s="3" t="s">
        <v>109</v>
      </c>
      <c r="F16" s="3" t="s">
        <v>110</v>
      </c>
      <c r="G16" s="3" t="s">
        <v>111</v>
      </c>
      <c r="H16" s="3" t="s">
        <v>112</v>
      </c>
    </row>
    <row r="17" ht="16.5" customHeight="1">
      <c r="B17" s="4">
        <v>1.0</v>
      </c>
      <c r="C17" s="4" t="s">
        <v>113</v>
      </c>
      <c r="D17" s="5" t="s">
        <v>114</v>
      </c>
      <c r="E17" s="4" t="s">
        <v>115</v>
      </c>
      <c r="F17" s="4" t="s">
        <v>116</v>
      </c>
      <c r="G17" s="4" t="s">
        <v>117</v>
      </c>
      <c r="H17" s="4" t="s">
        <v>118</v>
      </c>
    </row>
    <row r="18" ht="16.5" customHeight="1">
      <c r="B18" s="4">
        <v>2.0</v>
      </c>
      <c r="C18" s="4" t="s">
        <v>119</v>
      </c>
      <c r="D18" s="5" t="s">
        <v>120</v>
      </c>
      <c r="E18" s="4" t="s">
        <v>121</v>
      </c>
      <c r="F18" s="4" t="s">
        <v>122</v>
      </c>
      <c r="G18" s="4" t="s">
        <v>123</v>
      </c>
      <c r="H18" s="4" t="s">
        <v>124</v>
      </c>
    </row>
    <row r="19" ht="16.5" customHeight="1">
      <c r="B19" s="4">
        <v>3.0</v>
      </c>
      <c r="C19" s="4" t="s">
        <v>125</v>
      </c>
      <c r="D19" s="5" t="s">
        <v>126</v>
      </c>
      <c r="E19" s="4" t="s">
        <v>127</v>
      </c>
      <c r="F19" s="4" t="s">
        <v>128</v>
      </c>
      <c r="G19" s="4" t="s">
        <v>129</v>
      </c>
      <c r="H19" s="4" t="s">
        <v>130</v>
      </c>
    </row>
    <row r="20" ht="16.5" customHeight="1">
      <c r="B20" s="4">
        <v>4.0</v>
      </c>
      <c r="C20" s="4" t="s">
        <v>131</v>
      </c>
      <c r="D20" s="5" t="s">
        <v>132</v>
      </c>
      <c r="E20" s="4" t="s">
        <v>133</v>
      </c>
      <c r="F20" s="4" t="s">
        <v>134</v>
      </c>
      <c r="G20" s="4" t="s">
        <v>135</v>
      </c>
      <c r="H20" s="4" t="s">
        <v>136</v>
      </c>
    </row>
    <row r="21" ht="16.5" customHeight="1">
      <c r="B21" s="4">
        <v>5.0</v>
      </c>
      <c r="C21" s="4" t="s">
        <v>137</v>
      </c>
      <c r="D21" s="5" t="s">
        <v>138</v>
      </c>
      <c r="E21" s="4" t="s">
        <v>139</v>
      </c>
      <c r="F21" s="4" t="s">
        <v>140</v>
      </c>
      <c r="G21" s="4" t="s">
        <v>141</v>
      </c>
      <c r="H21" s="4" t="s">
        <v>142</v>
      </c>
    </row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I5:J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5.75"/>
    <col customWidth="1" min="2" max="2" width="8.75"/>
    <col customWidth="1" min="3" max="8" width="18.75"/>
  </cols>
  <sheetData>
    <row r="1" ht="16.5" customHeight="1"/>
    <row r="2" ht="16.5" customHeight="1">
      <c r="B2" s="1" t="s">
        <v>143</v>
      </c>
    </row>
    <row r="3" ht="16.5" customHeight="1">
      <c r="B3" s="2" t="s">
        <v>144</v>
      </c>
    </row>
    <row r="4" ht="16.5" customHeight="1"/>
    <row r="5" ht="16.5" customHeight="1">
      <c r="B5" s="3" t="s">
        <v>2</v>
      </c>
      <c r="C5" s="3" t="s">
        <v>3</v>
      </c>
      <c r="D5" s="3" t="s">
        <v>145</v>
      </c>
      <c r="E5" s="3" t="s">
        <v>109</v>
      </c>
      <c r="F5" s="3" t="s">
        <v>146</v>
      </c>
      <c r="G5" s="3" t="s">
        <v>111</v>
      </c>
      <c r="H5" s="3" t="s">
        <v>112</v>
      </c>
    </row>
    <row r="6" ht="16.5" customHeight="1">
      <c r="B6" s="4">
        <f>'0. Data Sumber'!B6</f>
        <v>1</v>
      </c>
      <c r="C6" s="4" t="str">
        <f>'0. Data Sumber'!C6</f>
        <v>HH3183</v>
      </c>
      <c r="D6" s="4">
        <f>'0. Data Sumber'!F6</f>
        <v>7</v>
      </c>
      <c r="E6" s="4">
        <f>'0. Data Sumber'!G6</f>
        <v>8</v>
      </c>
      <c r="F6" s="7">
        <f>'0. Data Sumber'!J6</f>
        <v>0.75</v>
      </c>
      <c r="G6" s="4">
        <f>'0. Data Sumber'!N6</f>
        <v>10</v>
      </c>
      <c r="H6" s="9">
        <f>'0. Data Sumber'!P6</f>
        <v>1779</v>
      </c>
    </row>
    <row r="7" ht="16.5" customHeight="1">
      <c r="B7" s="4">
        <f>'0. Data Sumber'!B7</f>
        <v>2</v>
      </c>
      <c r="C7" s="4" t="str">
        <f>'0. Data Sumber'!C7</f>
        <v>VW9824</v>
      </c>
      <c r="D7" s="4">
        <f>'0. Data Sumber'!F7</f>
        <v>13</v>
      </c>
      <c r="E7" s="4">
        <f>'0. Data Sumber'!G7</f>
        <v>3</v>
      </c>
      <c r="F7" s="7">
        <f>'0. Data Sumber'!J7</f>
        <v>0</v>
      </c>
      <c r="G7" s="4">
        <f>'0. Data Sumber'!N7</f>
        <v>3</v>
      </c>
      <c r="H7" s="9">
        <f>'0. Data Sumber'!P7</f>
        <v>3221</v>
      </c>
    </row>
    <row r="8" ht="16.5" customHeight="1">
      <c r="B8" s="4">
        <f>'0. Data Sumber'!B8</f>
        <v>3</v>
      </c>
      <c r="C8" s="4" t="str">
        <f>'0. Data Sumber'!C8</f>
        <v>SG7127</v>
      </c>
      <c r="D8" s="4">
        <f>'0. Data Sumber'!F8</f>
        <v>2</v>
      </c>
      <c r="E8" s="4">
        <f>'0. Data Sumber'!G8</f>
        <v>9</v>
      </c>
      <c r="F8" s="7">
        <f>'0. Data Sumber'!J8</f>
        <v>0.7777777778</v>
      </c>
      <c r="G8" s="4">
        <f>'0. Data Sumber'!N8</f>
        <v>14</v>
      </c>
      <c r="H8" s="9">
        <f>'0. Data Sumber'!P8</f>
        <v>3558</v>
      </c>
    </row>
    <row r="9" ht="16.5" customHeight="1">
      <c r="B9" s="4">
        <f>'0. Data Sumber'!B9</f>
        <v>4</v>
      </c>
      <c r="C9" s="4" t="str">
        <f>'0. Data Sumber'!C9</f>
        <v>VF6551</v>
      </c>
      <c r="D9" s="4">
        <f>'0. Data Sumber'!F9</f>
        <v>14</v>
      </c>
      <c r="E9" s="4">
        <f>'0. Data Sumber'!G9</f>
        <v>8</v>
      </c>
      <c r="F9" s="7">
        <f>'0. Data Sumber'!J9</f>
        <v>0.75</v>
      </c>
      <c r="G9" s="4">
        <f>'0. Data Sumber'!N9</f>
        <v>0</v>
      </c>
      <c r="H9" s="9">
        <f>'0. Data Sumber'!P9</f>
        <v>2937</v>
      </c>
    </row>
    <row r="10" ht="16.5" customHeight="1">
      <c r="B10" s="4">
        <f>'0. Data Sumber'!B10</f>
        <v>5</v>
      </c>
      <c r="C10" s="4" t="str">
        <f>'0. Data Sumber'!C10</f>
        <v>MB5413</v>
      </c>
      <c r="D10" s="4">
        <f>'0. Data Sumber'!F10</f>
        <v>2</v>
      </c>
      <c r="E10" s="4">
        <f>'0. Data Sumber'!G10</f>
        <v>10</v>
      </c>
      <c r="F10" s="7">
        <f>'0. Data Sumber'!J10</f>
        <v>0.9</v>
      </c>
      <c r="G10" s="4">
        <f>'0. Data Sumber'!N10</f>
        <v>14</v>
      </c>
      <c r="H10" s="9">
        <f>'0. Data Sumber'!P10</f>
        <v>2342</v>
      </c>
    </row>
    <row r="11" ht="16.5" customHeight="1">
      <c r="B11" s="4">
        <f>'0. Data Sumber'!B11</f>
        <v>6</v>
      </c>
      <c r="C11" s="4" t="str">
        <f>'0. Data Sumber'!C11</f>
        <v>RC8570</v>
      </c>
      <c r="D11" s="4">
        <f>'0. Data Sumber'!F11</f>
        <v>9</v>
      </c>
      <c r="E11" s="4">
        <f>'0. Data Sumber'!G11</f>
        <v>4</v>
      </c>
      <c r="F11" s="7">
        <f>'0. Data Sumber'!J11</f>
        <v>0</v>
      </c>
      <c r="G11" s="4">
        <f>'0. Data Sumber'!N11</f>
        <v>5</v>
      </c>
      <c r="H11" s="9">
        <f>'0. Data Sumber'!P11</f>
        <v>2531</v>
      </c>
    </row>
    <row r="12" ht="16.5" customHeight="1">
      <c r="B12" s="4">
        <f>'0. Data Sumber'!B12</f>
        <v>7</v>
      </c>
      <c r="C12" s="4" t="str">
        <f>'0. Data Sumber'!C12</f>
        <v>LE4536</v>
      </c>
      <c r="D12" s="4">
        <f>'0. Data Sumber'!F12</f>
        <v>9</v>
      </c>
      <c r="E12" s="4">
        <f>'0. Data Sumber'!G12</f>
        <v>5</v>
      </c>
      <c r="F12" s="7">
        <f>'0. Data Sumber'!J12</f>
        <v>0</v>
      </c>
      <c r="G12" s="4">
        <f>'0. Data Sumber'!N12</f>
        <v>7</v>
      </c>
      <c r="H12" s="9">
        <f>'0. Data Sumber'!P12</f>
        <v>1257</v>
      </c>
    </row>
    <row r="13" ht="16.5" customHeight="1">
      <c r="B13" s="4">
        <f>'0. Data Sumber'!B13</f>
        <v>8</v>
      </c>
      <c r="C13" s="4" t="str">
        <f>'0. Data Sumber'!C13</f>
        <v>QV3883</v>
      </c>
      <c r="D13" s="4">
        <f>'0. Data Sumber'!F13</f>
        <v>15</v>
      </c>
      <c r="E13" s="4">
        <f>'0. Data Sumber'!G13</f>
        <v>4</v>
      </c>
      <c r="F13" s="7">
        <f>'0. Data Sumber'!J13</f>
        <v>0</v>
      </c>
      <c r="G13" s="4">
        <f>'0. Data Sumber'!N13</f>
        <v>2</v>
      </c>
      <c r="H13" s="9">
        <f>'0. Data Sumber'!P13</f>
        <v>1774</v>
      </c>
    </row>
    <row r="14" ht="16.5" customHeight="1">
      <c r="B14" s="4">
        <f>'0. Data Sumber'!B14</f>
        <v>9</v>
      </c>
      <c r="C14" s="4" t="str">
        <f>'0. Data Sumber'!C14</f>
        <v>VN2329</v>
      </c>
      <c r="D14" s="4">
        <f>'0. Data Sumber'!F14</f>
        <v>1</v>
      </c>
      <c r="E14" s="4">
        <f>'0. Data Sumber'!G14</f>
        <v>3</v>
      </c>
      <c r="F14" s="7">
        <f>'0. Data Sumber'!J14</f>
        <v>0.6666666667</v>
      </c>
      <c r="G14" s="4">
        <f>'0. Data Sumber'!N14</f>
        <v>13</v>
      </c>
      <c r="H14" s="9">
        <f>'0. Data Sumber'!P14</f>
        <v>2987</v>
      </c>
    </row>
    <row r="15" ht="16.5" customHeight="1">
      <c r="B15" s="4">
        <f>'0. Data Sumber'!B15</f>
        <v>10</v>
      </c>
      <c r="C15" s="4" t="str">
        <f>'0. Data Sumber'!C15</f>
        <v>TA7243</v>
      </c>
      <c r="D15" s="4">
        <f>'0. Data Sumber'!F15</f>
        <v>14</v>
      </c>
      <c r="E15" s="4">
        <f>'0. Data Sumber'!G15</f>
        <v>8</v>
      </c>
      <c r="F15" s="7">
        <f>'0. Data Sumber'!J15</f>
        <v>0.875</v>
      </c>
      <c r="G15" s="4">
        <f>'0. Data Sumber'!N15</f>
        <v>0</v>
      </c>
      <c r="H15" s="9">
        <f>'0. Data Sumber'!P15</f>
        <v>2315</v>
      </c>
    </row>
    <row r="16" ht="16.5" customHeight="1">
      <c r="B16" s="4">
        <f>'0. Data Sumber'!B16</f>
        <v>11</v>
      </c>
      <c r="C16" s="4" t="str">
        <f>'0. Data Sumber'!C16</f>
        <v>ZB4464</v>
      </c>
      <c r="D16" s="4">
        <f>'0. Data Sumber'!F16</f>
        <v>6</v>
      </c>
      <c r="E16" s="4">
        <f>'0. Data Sumber'!G16</f>
        <v>5</v>
      </c>
      <c r="F16" s="7">
        <f>'0. Data Sumber'!J16</f>
        <v>0</v>
      </c>
      <c r="G16" s="4">
        <f>'0. Data Sumber'!N16</f>
        <v>10</v>
      </c>
      <c r="H16" s="9">
        <f>'0. Data Sumber'!P16</f>
        <v>1869</v>
      </c>
    </row>
    <row r="17" ht="16.5" customHeight="1">
      <c r="B17" s="4">
        <f>'0. Data Sumber'!B17</f>
        <v>12</v>
      </c>
      <c r="C17" s="4" t="str">
        <f>'0. Data Sumber'!C17</f>
        <v>LW8801</v>
      </c>
      <c r="D17" s="4">
        <f>'0. Data Sumber'!F17</f>
        <v>8</v>
      </c>
      <c r="E17" s="4">
        <f>'0. Data Sumber'!G17</f>
        <v>6</v>
      </c>
      <c r="F17" s="7">
        <f>'0. Data Sumber'!J17</f>
        <v>0.1666666667</v>
      </c>
      <c r="G17" s="4">
        <f>'0. Data Sumber'!N17</f>
        <v>8</v>
      </c>
      <c r="H17" s="9">
        <f>'0. Data Sumber'!P17</f>
        <v>1564</v>
      </c>
    </row>
    <row r="18" ht="16.5" customHeight="1">
      <c r="B18" s="4">
        <f>'0. Data Sumber'!B18</f>
        <v>13</v>
      </c>
      <c r="C18" s="4" t="str">
        <f>'0. Data Sumber'!C18</f>
        <v>TN3037</v>
      </c>
      <c r="D18" s="4">
        <f>'0. Data Sumber'!F18</f>
        <v>15</v>
      </c>
      <c r="E18" s="4">
        <f>'0. Data Sumber'!G18</f>
        <v>2</v>
      </c>
      <c r="F18" s="7">
        <f>'0. Data Sumber'!J18</f>
        <v>0</v>
      </c>
      <c r="G18" s="4">
        <f>'0. Data Sumber'!N18</f>
        <v>2</v>
      </c>
      <c r="H18" s="9">
        <f>'0. Data Sumber'!P18</f>
        <v>1663</v>
      </c>
    </row>
    <row r="19" ht="16.5" customHeight="1">
      <c r="B19" s="4">
        <f>'0. Data Sumber'!B19</f>
        <v>14</v>
      </c>
      <c r="C19" s="4" t="str">
        <f>'0. Data Sumber'!C19</f>
        <v>FN3384</v>
      </c>
      <c r="D19" s="4">
        <f>'0. Data Sumber'!F19</f>
        <v>2</v>
      </c>
      <c r="E19" s="4">
        <f>'0. Data Sumber'!G19</f>
        <v>3</v>
      </c>
      <c r="F19" s="7">
        <f>'0. Data Sumber'!J19</f>
        <v>0.3333333333</v>
      </c>
      <c r="G19" s="4">
        <f>'0. Data Sumber'!N19</f>
        <v>13</v>
      </c>
      <c r="H19" s="9">
        <f>'0. Data Sumber'!P19</f>
        <v>1760</v>
      </c>
    </row>
    <row r="20" ht="16.5" customHeight="1">
      <c r="B20" s="4">
        <f>'0. Data Sumber'!B20</f>
        <v>15</v>
      </c>
      <c r="C20" s="4" t="str">
        <f>'0. Data Sumber'!C20</f>
        <v>ZH5220</v>
      </c>
      <c r="D20" s="4">
        <f>'0. Data Sumber'!F20</f>
        <v>15</v>
      </c>
      <c r="E20" s="4">
        <f>'0. Data Sumber'!G20</f>
        <v>5</v>
      </c>
      <c r="F20" s="7">
        <f>'0. Data Sumber'!J20</f>
        <v>0</v>
      </c>
      <c r="G20" s="4">
        <f>'0. Data Sumber'!N20</f>
        <v>0</v>
      </c>
      <c r="H20" s="9">
        <f>'0. Data Sumber'!P20</f>
        <v>3091</v>
      </c>
    </row>
    <row r="21" ht="16.5" customHeight="1">
      <c r="B21" s="4">
        <f>'0. Data Sumber'!B21</f>
        <v>16</v>
      </c>
      <c r="C21" s="4" t="str">
        <f>'0. Data Sumber'!C21</f>
        <v>JA1781</v>
      </c>
      <c r="D21" s="4">
        <f>'0. Data Sumber'!F21</f>
        <v>2</v>
      </c>
      <c r="E21" s="4">
        <f>'0. Data Sumber'!G21</f>
        <v>7</v>
      </c>
      <c r="F21" s="7">
        <f>'0. Data Sumber'!J21</f>
        <v>0.7142857143</v>
      </c>
      <c r="G21" s="4">
        <f>'0. Data Sumber'!N21</f>
        <v>11</v>
      </c>
      <c r="H21" s="9">
        <f>'0. Data Sumber'!P21</f>
        <v>3100</v>
      </c>
    </row>
    <row r="22" ht="16.5" customHeight="1">
      <c r="B22" s="4">
        <f>'0. Data Sumber'!B22</f>
        <v>17</v>
      </c>
      <c r="C22" s="4" t="str">
        <f>'0. Data Sumber'!C22</f>
        <v>ZM7323</v>
      </c>
      <c r="D22" s="4">
        <f>'0. Data Sumber'!F22</f>
        <v>6</v>
      </c>
      <c r="E22" s="4">
        <f>'0. Data Sumber'!G22</f>
        <v>5</v>
      </c>
      <c r="F22" s="7">
        <f>'0. Data Sumber'!J22</f>
        <v>0.2</v>
      </c>
      <c r="G22" s="4">
        <f>'0. Data Sumber'!N22</f>
        <v>10</v>
      </c>
      <c r="H22" s="9">
        <f>'0. Data Sumber'!P22</f>
        <v>2426</v>
      </c>
    </row>
    <row r="23" ht="16.5" customHeight="1">
      <c r="B23" s="4">
        <f>'0. Data Sumber'!B23</f>
        <v>18</v>
      </c>
      <c r="C23" s="4" t="str">
        <f>'0. Data Sumber'!C23</f>
        <v>BL7530</v>
      </c>
      <c r="D23" s="4">
        <f>'0. Data Sumber'!F23</f>
        <v>7</v>
      </c>
      <c r="E23" s="4">
        <f>'0. Data Sumber'!G23</f>
        <v>7</v>
      </c>
      <c r="F23" s="7">
        <f>'0. Data Sumber'!J23</f>
        <v>0.2857142857</v>
      </c>
      <c r="G23" s="4">
        <f>'0. Data Sumber'!N23</f>
        <v>6</v>
      </c>
      <c r="H23" s="9">
        <f>'0. Data Sumber'!P23</f>
        <v>1789</v>
      </c>
    </row>
    <row r="24" ht="16.5" customHeight="1">
      <c r="B24" s="4">
        <f>'0. Data Sumber'!B24</f>
        <v>19</v>
      </c>
      <c r="C24" s="4" t="str">
        <f>'0. Data Sumber'!C24</f>
        <v>HU6089</v>
      </c>
      <c r="D24" s="4">
        <f>'0. Data Sumber'!F24</f>
        <v>13</v>
      </c>
      <c r="E24" s="4">
        <f>'0. Data Sumber'!G24</f>
        <v>9</v>
      </c>
      <c r="F24" s="7">
        <f>'0. Data Sumber'!J24</f>
        <v>0.7777777778</v>
      </c>
      <c r="G24" s="4">
        <f>'0. Data Sumber'!N24</f>
        <v>2</v>
      </c>
      <c r="H24" s="9">
        <f>'0. Data Sumber'!P24</f>
        <v>3727</v>
      </c>
    </row>
    <row r="25" ht="16.5" customHeight="1">
      <c r="B25" s="4">
        <f>'0. Data Sumber'!B25</f>
        <v>20</v>
      </c>
      <c r="C25" s="4" t="str">
        <f>'0. Data Sumber'!C25</f>
        <v>JO2312</v>
      </c>
      <c r="D25" s="4">
        <f>'0. Data Sumber'!F25</f>
        <v>2</v>
      </c>
      <c r="E25" s="4">
        <f>'0. Data Sumber'!G25</f>
        <v>7</v>
      </c>
      <c r="F25" s="7">
        <f>'0. Data Sumber'!J25</f>
        <v>0.7142857143</v>
      </c>
      <c r="G25" s="4">
        <f>'0. Data Sumber'!N25</f>
        <v>12</v>
      </c>
      <c r="H25" s="9">
        <f>'0. Data Sumber'!P25</f>
        <v>2618</v>
      </c>
    </row>
    <row r="26" ht="16.5" customHeight="1"/>
    <row r="27" ht="16.5" customHeight="1">
      <c r="C27" s="4" t="s">
        <v>147</v>
      </c>
      <c r="D27" s="13">
        <f t="shared" ref="D27:H27" si="1">MAX(D6:D25)</f>
        <v>15</v>
      </c>
      <c r="E27" s="13">
        <f t="shared" si="1"/>
        <v>10</v>
      </c>
      <c r="F27" s="13">
        <f t="shared" si="1"/>
        <v>0.9</v>
      </c>
      <c r="G27" s="13">
        <f t="shared" si="1"/>
        <v>14</v>
      </c>
      <c r="H27" s="13">
        <f t="shared" si="1"/>
        <v>3727</v>
      </c>
    </row>
    <row r="28" ht="16.5" customHeight="1">
      <c r="C28" s="4" t="s">
        <v>148</v>
      </c>
      <c r="D28" s="13">
        <f t="shared" ref="D28:H28" si="2">MIN(D6:D25)</f>
        <v>1</v>
      </c>
      <c r="E28" s="13">
        <f t="shared" si="2"/>
        <v>2</v>
      </c>
      <c r="F28" s="13">
        <f t="shared" si="2"/>
        <v>0</v>
      </c>
      <c r="G28" s="13">
        <f t="shared" si="2"/>
        <v>0</v>
      </c>
      <c r="H28" s="13">
        <f t="shared" si="2"/>
        <v>1257</v>
      </c>
    </row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5.75"/>
    <col customWidth="1" min="2" max="2" width="8.75"/>
    <col customWidth="1" min="3" max="18" width="14.75"/>
    <col customWidth="1" min="19" max="27" width="8.63"/>
  </cols>
  <sheetData>
    <row r="1" ht="16.5" customHeight="1"/>
    <row r="2" ht="16.5" customHeight="1">
      <c r="B2" s="1" t="s">
        <v>149</v>
      </c>
    </row>
    <row r="3" ht="16.5" customHeight="1">
      <c r="B3" s="17" t="s">
        <v>150</v>
      </c>
      <c r="C3" s="18"/>
      <c r="D3" s="18"/>
      <c r="E3" s="18"/>
      <c r="F3" s="18"/>
      <c r="G3" s="18"/>
      <c r="H3" s="12"/>
      <c r="J3" s="17" t="s">
        <v>151</v>
      </c>
      <c r="K3" s="18"/>
      <c r="L3" s="18"/>
      <c r="M3" s="18"/>
      <c r="N3" s="18"/>
      <c r="O3" s="18"/>
      <c r="P3" s="12"/>
    </row>
    <row r="4" ht="16.5" customHeight="1"/>
    <row r="5" ht="16.5" customHeight="1">
      <c r="B5" s="3" t="s">
        <v>2</v>
      </c>
      <c r="C5" s="3" t="s">
        <v>152</v>
      </c>
      <c r="D5" s="3" t="s">
        <v>153</v>
      </c>
      <c r="E5" s="3" t="s">
        <v>154</v>
      </c>
      <c r="F5" s="3" t="s">
        <v>155</v>
      </c>
      <c r="G5" s="3" t="s">
        <v>156</v>
      </c>
      <c r="J5" s="3" t="s">
        <v>2</v>
      </c>
      <c r="K5" s="3" t="s">
        <v>157</v>
      </c>
      <c r="L5" s="3" t="s">
        <v>158</v>
      </c>
      <c r="M5" s="3" t="s">
        <v>159</v>
      </c>
      <c r="N5" s="3" t="s">
        <v>160</v>
      </c>
      <c r="O5" s="3" t="s">
        <v>161</v>
      </c>
      <c r="P5" s="3" t="s">
        <v>162</v>
      </c>
      <c r="Q5" s="3" t="s">
        <v>163</v>
      </c>
      <c r="S5" s="19" t="s">
        <v>164</v>
      </c>
      <c r="T5" s="20"/>
      <c r="U5" s="20"/>
      <c r="V5" s="20"/>
      <c r="W5" s="20"/>
      <c r="X5" s="20"/>
      <c r="Y5" s="20"/>
      <c r="Z5" s="20"/>
      <c r="AA5" s="21"/>
    </row>
    <row r="6" ht="16.5" customHeight="1">
      <c r="B6" s="4">
        <f>'2. Data Mentah'!B6</f>
        <v>1</v>
      </c>
      <c r="C6" s="13">
        <f>IF('2. Data Mentah'!D$28=0, 1/('2. Data Mentah'!D6+1), '2. Data Mentah'!D$28/'2. Data Mentah'!D6)</f>
        <v>0.1428571429</v>
      </c>
      <c r="D6" s="13">
        <f>IF('2. Data Mentah'!E$28=0, 1/('2. Data Mentah'!E6+1), '2. Data Mentah'!E$28/'2. Data Mentah'!E6)</f>
        <v>0.25</v>
      </c>
      <c r="E6" s="13">
        <f>IF('2. Data Mentah'!F$27=0, 0, '2. Data Mentah'!F6/'2. Data Mentah'!F$27)</f>
        <v>0.8333333333</v>
      </c>
      <c r="F6" s="13">
        <f>IF('2. Data Mentah'!G$27=0, 0, '2. Data Mentah'!G6/'2. Data Mentah'!G$27)</f>
        <v>0.7142857143</v>
      </c>
      <c r="G6" s="13">
        <f>IF('2. Data Mentah'!H$27=0, 0, '2. Data Mentah'!H6/'2. Data Mentah'!H$27)</f>
        <v>0.4773276093</v>
      </c>
      <c r="J6" s="4">
        <f t="shared" ref="J6:J25" si="1">B6</f>
        <v>1</v>
      </c>
      <c r="K6" s="13">
        <f>C6*'1. Bobot Kriteria'!F6</f>
        <v>0.04285714286</v>
      </c>
      <c r="L6" s="13">
        <f>D6*'1. Bobot Kriteria'!F7</f>
        <v>0.05</v>
      </c>
      <c r="M6" s="13">
        <f>E6*'1. Bobot Kriteria'!F8</f>
        <v>0.1666666667</v>
      </c>
      <c r="N6" s="13">
        <f>F6*'1. Bobot Kriteria'!F9</f>
        <v>0.1071428571</v>
      </c>
      <c r="O6" s="13">
        <f>G6*'1. Bobot Kriteria'!F10</f>
        <v>0.0715991414</v>
      </c>
      <c r="P6" s="13">
        <f t="shared" ref="P6:P25" si="2">SUM(K6:O6)</f>
        <v>0.4382658081</v>
      </c>
      <c r="Q6" s="13">
        <f t="shared" ref="Q6:Q25" si="3">P6-(ROW()/100000000)</f>
        <v>0.4382657481</v>
      </c>
      <c r="S6" s="22"/>
      <c r="T6" s="23"/>
      <c r="U6" s="23"/>
      <c r="V6" s="23"/>
      <c r="W6" s="23"/>
      <c r="X6" s="23"/>
      <c r="Y6" s="23"/>
      <c r="Z6" s="23"/>
      <c r="AA6" s="24"/>
    </row>
    <row r="7" ht="16.5" customHeight="1">
      <c r="B7" s="4">
        <f>'2. Data Mentah'!B7</f>
        <v>2</v>
      </c>
      <c r="C7" s="13">
        <f>IF('2. Data Mentah'!D$28=0, 1/('2. Data Mentah'!D7+1), '2. Data Mentah'!D$28/'2. Data Mentah'!D7)</f>
        <v>0.07692307692</v>
      </c>
      <c r="D7" s="13">
        <f>IF('2. Data Mentah'!E$28=0, 1/('2. Data Mentah'!E7+1), '2. Data Mentah'!E$28/'2. Data Mentah'!E7)</f>
        <v>0.6666666667</v>
      </c>
      <c r="E7" s="13">
        <f>IF('2. Data Mentah'!F$27=0, 0, '2. Data Mentah'!F7/'2. Data Mentah'!F$27)</f>
        <v>0</v>
      </c>
      <c r="F7" s="13">
        <f>IF('2. Data Mentah'!G$27=0, 0, '2. Data Mentah'!G7/'2. Data Mentah'!G$27)</f>
        <v>0.2142857143</v>
      </c>
      <c r="G7" s="13">
        <f>IF('2. Data Mentah'!H$27=0, 0, '2. Data Mentah'!H7/'2. Data Mentah'!H$27)</f>
        <v>0.8642339683</v>
      </c>
      <c r="J7" s="4">
        <f t="shared" si="1"/>
        <v>2</v>
      </c>
      <c r="K7" s="13">
        <f>C7*'1. Bobot Kriteria'!F6</f>
        <v>0.02307692308</v>
      </c>
      <c r="L7" s="13">
        <f>D7*'1. Bobot Kriteria'!F7</f>
        <v>0.1333333333</v>
      </c>
      <c r="M7" s="13">
        <f>E7*'1. Bobot Kriteria'!F8</f>
        <v>0</v>
      </c>
      <c r="N7" s="13">
        <f>F7*'1. Bobot Kriteria'!F9</f>
        <v>0.03214285714</v>
      </c>
      <c r="O7" s="13">
        <f>G7*'1. Bobot Kriteria'!F10</f>
        <v>0.1296350953</v>
      </c>
      <c r="P7" s="13">
        <f t="shared" si="2"/>
        <v>0.3181882088</v>
      </c>
      <c r="Q7" s="13">
        <f t="shared" si="3"/>
        <v>0.3181881388</v>
      </c>
      <c r="S7" s="25" t="s">
        <v>165</v>
      </c>
      <c r="T7" s="26"/>
      <c r="U7" s="26"/>
      <c r="V7" s="26"/>
      <c r="W7" s="26"/>
      <c r="X7" s="26"/>
      <c r="Y7" s="26"/>
      <c r="Z7" s="26"/>
      <c r="AA7" s="27"/>
    </row>
    <row r="8" ht="16.5" customHeight="1">
      <c r="B8" s="4">
        <f>'2. Data Mentah'!B8</f>
        <v>3</v>
      </c>
      <c r="C8" s="13">
        <f>IF('2. Data Mentah'!D$28=0, 1/('2. Data Mentah'!D8+1), '2. Data Mentah'!D$28/'2. Data Mentah'!D8)</f>
        <v>0.5</v>
      </c>
      <c r="D8" s="13">
        <f>IF('2. Data Mentah'!E$28=0, 1/('2. Data Mentah'!E8+1), '2. Data Mentah'!E$28/'2. Data Mentah'!E8)</f>
        <v>0.2222222222</v>
      </c>
      <c r="E8" s="13">
        <f>IF('2. Data Mentah'!F$27=0, 0, '2. Data Mentah'!F8/'2. Data Mentah'!F$27)</f>
        <v>0.8641975309</v>
      </c>
      <c r="F8" s="13">
        <f>IF('2. Data Mentah'!G$27=0, 0, '2. Data Mentah'!G8/'2. Data Mentah'!G$27)</f>
        <v>1</v>
      </c>
      <c r="G8" s="13">
        <f>IF('2. Data Mentah'!H$27=0, 0, '2. Data Mentah'!H8/'2. Data Mentah'!H$27)</f>
        <v>0.9546552187</v>
      </c>
      <c r="J8" s="4">
        <f t="shared" si="1"/>
        <v>3</v>
      </c>
      <c r="K8" s="13">
        <f>C8*'1. Bobot Kriteria'!F6</f>
        <v>0.15</v>
      </c>
      <c r="L8" s="13">
        <f>D8*'1. Bobot Kriteria'!F7</f>
        <v>0.04444444444</v>
      </c>
      <c r="M8" s="13">
        <f>E8*'1. Bobot Kriteria'!F8</f>
        <v>0.1728395062</v>
      </c>
      <c r="N8" s="13">
        <f>F8*'1. Bobot Kriteria'!F9</f>
        <v>0.15</v>
      </c>
      <c r="O8" s="13">
        <f>G8*'1. Bobot Kriteria'!F10</f>
        <v>0.1431982828</v>
      </c>
      <c r="P8" s="13">
        <f t="shared" si="2"/>
        <v>0.6604822334</v>
      </c>
      <c r="Q8" s="13">
        <f t="shared" si="3"/>
        <v>0.6604821534</v>
      </c>
      <c r="S8" s="28"/>
    </row>
    <row r="9" ht="16.5" customHeight="1">
      <c r="B9" s="4">
        <f>'2. Data Mentah'!B9</f>
        <v>4</v>
      </c>
      <c r="C9" s="13">
        <f>IF('2. Data Mentah'!D$28=0, 1/('2. Data Mentah'!D9+1), '2. Data Mentah'!D$28/'2. Data Mentah'!D9)</f>
        <v>0.07142857143</v>
      </c>
      <c r="D9" s="13">
        <f>IF('2. Data Mentah'!E$28=0, 1/('2. Data Mentah'!E9+1), '2. Data Mentah'!E$28/'2. Data Mentah'!E9)</f>
        <v>0.25</v>
      </c>
      <c r="E9" s="13">
        <f>IF('2. Data Mentah'!F$27=0, 0, '2. Data Mentah'!F9/'2. Data Mentah'!F$27)</f>
        <v>0.8333333333</v>
      </c>
      <c r="F9" s="13">
        <f>IF('2. Data Mentah'!G$27=0, 0, '2. Data Mentah'!G9/'2. Data Mentah'!G$27)</f>
        <v>0</v>
      </c>
      <c r="G9" s="13">
        <f>IF('2. Data Mentah'!H$27=0, 0, '2. Data Mentah'!H9/'2. Data Mentah'!H$27)</f>
        <v>0.7880332707</v>
      </c>
      <c r="J9" s="4">
        <f t="shared" si="1"/>
        <v>4</v>
      </c>
      <c r="K9" s="13">
        <f>C9*'1. Bobot Kriteria'!F6</f>
        <v>0.02142857143</v>
      </c>
      <c r="L9" s="13">
        <f>D9*'1. Bobot Kriteria'!F7</f>
        <v>0.05</v>
      </c>
      <c r="M9" s="13">
        <f>E9*'1. Bobot Kriteria'!F8</f>
        <v>0.1666666667</v>
      </c>
      <c r="N9" s="13">
        <f>F9*'1. Bobot Kriteria'!F9</f>
        <v>0</v>
      </c>
      <c r="O9" s="13">
        <f>G9*'1. Bobot Kriteria'!F10</f>
        <v>0.1182049906</v>
      </c>
      <c r="P9" s="13">
        <f t="shared" si="2"/>
        <v>0.3563002287</v>
      </c>
      <c r="Q9" s="13">
        <f t="shared" si="3"/>
        <v>0.3563001387</v>
      </c>
      <c r="S9" s="29" t="s">
        <v>166</v>
      </c>
      <c r="T9" s="30"/>
      <c r="U9" s="30"/>
      <c r="V9" s="30"/>
      <c r="W9" s="30"/>
      <c r="X9" s="30"/>
      <c r="Y9" s="30"/>
      <c r="Z9" s="30"/>
      <c r="AA9" s="31"/>
    </row>
    <row r="10" ht="16.5" customHeight="1">
      <c r="B10" s="4">
        <f>'2. Data Mentah'!B10</f>
        <v>5</v>
      </c>
      <c r="C10" s="13">
        <f>IF('2. Data Mentah'!D$28=0, 1/('2. Data Mentah'!D10+1), '2. Data Mentah'!D$28/'2. Data Mentah'!D10)</f>
        <v>0.5</v>
      </c>
      <c r="D10" s="13">
        <f>IF('2. Data Mentah'!E$28=0, 1/('2. Data Mentah'!E10+1), '2. Data Mentah'!E$28/'2. Data Mentah'!E10)</f>
        <v>0.2</v>
      </c>
      <c r="E10" s="13">
        <f>IF('2. Data Mentah'!F$27=0, 0, '2. Data Mentah'!F10/'2. Data Mentah'!F$27)</f>
        <v>1</v>
      </c>
      <c r="F10" s="13">
        <f>IF('2. Data Mentah'!G$27=0, 0, '2. Data Mentah'!G10/'2. Data Mentah'!G$27)</f>
        <v>1</v>
      </c>
      <c r="G10" s="13">
        <f>IF('2. Data Mentah'!H$27=0, 0, '2. Data Mentah'!H10/'2. Data Mentah'!H$27)</f>
        <v>0.628387443</v>
      </c>
      <c r="J10" s="4">
        <f t="shared" si="1"/>
        <v>5</v>
      </c>
      <c r="K10" s="13">
        <f>C10*'1. Bobot Kriteria'!F6</f>
        <v>0.15</v>
      </c>
      <c r="L10" s="13">
        <f>D10*'1. Bobot Kriteria'!F7</f>
        <v>0.04</v>
      </c>
      <c r="M10" s="13">
        <f>E10*'1. Bobot Kriteria'!F8</f>
        <v>0.2</v>
      </c>
      <c r="N10" s="13">
        <f>F10*'1. Bobot Kriteria'!F9</f>
        <v>0.15</v>
      </c>
      <c r="O10" s="13">
        <f>G10*'1. Bobot Kriteria'!F10</f>
        <v>0.09425811645</v>
      </c>
      <c r="P10" s="13">
        <f t="shared" si="2"/>
        <v>0.6342581164</v>
      </c>
      <c r="Q10" s="13">
        <f t="shared" si="3"/>
        <v>0.6342580164</v>
      </c>
      <c r="S10" s="32" t="s">
        <v>167</v>
      </c>
      <c r="T10" s="33"/>
      <c r="U10" s="33"/>
      <c r="V10" s="33"/>
      <c r="W10" s="33"/>
      <c r="X10" s="33"/>
      <c r="Y10" s="33"/>
      <c r="Z10" s="33"/>
      <c r="AA10" s="34"/>
    </row>
    <row r="11" ht="16.5" customHeight="1">
      <c r="B11" s="4">
        <f>'2. Data Mentah'!B11</f>
        <v>6</v>
      </c>
      <c r="C11" s="13">
        <f>IF('2. Data Mentah'!D$28=0, 1/('2. Data Mentah'!D11+1), '2. Data Mentah'!D$28/'2. Data Mentah'!D11)</f>
        <v>0.1111111111</v>
      </c>
      <c r="D11" s="13">
        <f>IF('2. Data Mentah'!E$28=0, 1/('2. Data Mentah'!E11+1), '2. Data Mentah'!E$28/'2. Data Mentah'!E11)</f>
        <v>0.5</v>
      </c>
      <c r="E11" s="13">
        <f>IF('2. Data Mentah'!F$27=0, 0, '2. Data Mentah'!F11/'2. Data Mentah'!F$27)</f>
        <v>0</v>
      </c>
      <c r="F11" s="13">
        <f>IF('2. Data Mentah'!G$27=0, 0, '2. Data Mentah'!G11/'2. Data Mentah'!G$27)</f>
        <v>0.3571428571</v>
      </c>
      <c r="G11" s="13">
        <f>IF('2. Data Mentah'!H$27=0, 0, '2. Data Mentah'!H11/'2. Data Mentah'!H$27)</f>
        <v>0.6790984706</v>
      </c>
      <c r="J11" s="4">
        <f t="shared" si="1"/>
        <v>6</v>
      </c>
      <c r="K11" s="13">
        <f>C11*'1. Bobot Kriteria'!F6</f>
        <v>0.03333333333</v>
      </c>
      <c r="L11" s="13">
        <f>D11*'1. Bobot Kriteria'!F7</f>
        <v>0.1</v>
      </c>
      <c r="M11" s="13">
        <f>E11*'1. Bobot Kriteria'!F8</f>
        <v>0</v>
      </c>
      <c r="N11" s="13">
        <f>F11*'1. Bobot Kriteria'!F9</f>
        <v>0.05357142857</v>
      </c>
      <c r="O11" s="13">
        <f>G11*'1. Bobot Kriteria'!F10</f>
        <v>0.1018647706</v>
      </c>
      <c r="P11" s="13">
        <f t="shared" si="2"/>
        <v>0.2887695325</v>
      </c>
      <c r="Q11" s="13">
        <f t="shared" si="3"/>
        <v>0.2887694225</v>
      </c>
      <c r="S11" s="32" t="s">
        <v>168</v>
      </c>
      <c r="T11" s="33"/>
      <c r="U11" s="33"/>
      <c r="V11" s="33"/>
      <c r="W11" s="33"/>
      <c r="X11" s="33"/>
      <c r="Y11" s="33"/>
      <c r="Z11" s="33"/>
      <c r="AA11" s="34"/>
    </row>
    <row r="12" ht="16.5" customHeight="1">
      <c r="B12" s="4">
        <f>'2. Data Mentah'!B12</f>
        <v>7</v>
      </c>
      <c r="C12" s="13">
        <f>IF('2. Data Mentah'!D$28=0, 1/('2. Data Mentah'!D12+1), '2. Data Mentah'!D$28/'2. Data Mentah'!D12)</f>
        <v>0.1111111111</v>
      </c>
      <c r="D12" s="13">
        <f>IF('2. Data Mentah'!E$28=0, 1/('2. Data Mentah'!E12+1), '2. Data Mentah'!E$28/'2. Data Mentah'!E12)</f>
        <v>0.4</v>
      </c>
      <c r="E12" s="13">
        <f>IF('2. Data Mentah'!F$27=0, 0, '2. Data Mentah'!F12/'2. Data Mentah'!F$27)</f>
        <v>0</v>
      </c>
      <c r="F12" s="13">
        <f>IF('2. Data Mentah'!G$27=0, 0, '2. Data Mentah'!G12/'2. Data Mentah'!G$27)</f>
        <v>0.5</v>
      </c>
      <c r="G12" s="13">
        <f>IF('2. Data Mentah'!H$27=0, 0, '2. Data Mentah'!H12/'2. Data Mentah'!H$27)</f>
        <v>0.3372685806</v>
      </c>
      <c r="J12" s="4">
        <f t="shared" si="1"/>
        <v>7</v>
      </c>
      <c r="K12" s="13">
        <f>C12*'1. Bobot Kriteria'!F6</f>
        <v>0.03333333333</v>
      </c>
      <c r="L12" s="13">
        <f>D12*'1. Bobot Kriteria'!F7</f>
        <v>0.08</v>
      </c>
      <c r="M12" s="13">
        <f>E12*'1. Bobot Kriteria'!F8</f>
        <v>0</v>
      </c>
      <c r="N12" s="13">
        <f>F12*'1. Bobot Kriteria'!F9</f>
        <v>0.075</v>
      </c>
      <c r="O12" s="13">
        <f>G12*'1. Bobot Kriteria'!F10</f>
        <v>0.05059028709</v>
      </c>
      <c r="P12" s="13">
        <f t="shared" si="2"/>
        <v>0.2389236204</v>
      </c>
      <c r="Q12" s="13">
        <f t="shared" si="3"/>
        <v>0.2389235004</v>
      </c>
      <c r="S12" s="32"/>
      <c r="T12" s="33"/>
      <c r="U12" s="33"/>
      <c r="V12" s="33"/>
      <c r="W12" s="33"/>
      <c r="X12" s="33"/>
      <c r="Y12" s="33"/>
      <c r="Z12" s="33"/>
      <c r="AA12" s="34"/>
    </row>
    <row r="13" ht="16.5" customHeight="1">
      <c r="B13" s="4">
        <f>'2. Data Mentah'!B13</f>
        <v>8</v>
      </c>
      <c r="C13" s="13">
        <f>IF('2. Data Mentah'!D$28=0, 1/('2. Data Mentah'!D13+1), '2. Data Mentah'!D$28/'2. Data Mentah'!D13)</f>
        <v>0.06666666667</v>
      </c>
      <c r="D13" s="13">
        <f>IF('2. Data Mentah'!E$28=0, 1/('2. Data Mentah'!E13+1), '2. Data Mentah'!E$28/'2. Data Mentah'!E13)</f>
        <v>0.5</v>
      </c>
      <c r="E13" s="13">
        <f>IF('2. Data Mentah'!F$27=0, 0, '2. Data Mentah'!F13/'2. Data Mentah'!F$27)</f>
        <v>0</v>
      </c>
      <c r="F13" s="13">
        <f>IF('2. Data Mentah'!G$27=0, 0, '2. Data Mentah'!G13/'2. Data Mentah'!G$27)</f>
        <v>0.1428571429</v>
      </c>
      <c r="G13" s="13">
        <f>IF('2. Data Mentah'!H$27=0, 0, '2. Data Mentah'!H13/'2. Data Mentah'!H$27)</f>
        <v>0.4759860478</v>
      </c>
      <c r="J13" s="4">
        <f t="shared" si="1"/>
        <v>8</v>
      </c>
      <c r="K13" s="13">
        <f>C13*'1. Bobot Kriteria'!F6</f>
        <v>0.02</v>
      </c>
      <c r="L13" s="13">
        <f>D13*'1. Bobot Kriteria'!F7</f>
        <v>0.1</v>
      </c>
      <c r="M13" s="13">
        <f>E13*'1. Bobot Kriteria'!F8</f>
        <v>0</v>
      </c>
      <c r="N13" s="13">
        <f>F13*'1. Bobot Kriteria'!F9</f>
        <v>0.02142857143</v>
      </c>
      <c r="O13" s="13">
        <f>G13*'1. Bobot Kriteria'!F10</f>
        <v>0.07139790716</v>
      </c>
      <c r="P13" s="13">
        <f t="shared" si="2"/>
        <v>0.2128264786</v>
      </c>
      <c r="Q13" s="13">
        <f t="shared" si="3"/>
        <v>0.2128263486</v>
      </c>
      <c r="S13" s="32" t="s">
        <v>169</v>
      </c>
      <c r="T13" s="33"/>
      <c r="U13" s="33"/>
      <c r="V13" s="33"/>
      <c r="W13" s="33"/>
      <c r="X13" s="33"/>
      <c r="Y13" s="33"/>
      <c r="Z13" s="33"/>
      <c r="AA13" s="34"/>
    </row>
    <row r="14" ht="16.5" customHeight="1">
      <c r="B14" s="4">
        <f>'2. Data Mentah'!B14</f>
        <v>9</v>
      </c>
      <c r="C14" s="13">
        <f>IF('2. Data Mentah'!D$28=0, 1/('2. Data Mentah'!D14+1), '2. Data Mentah'!D$28/'2. Data Mentah'!D14)</f>
        <v>1</v>
      </c>
      <c r="D14" s="13">
        <f>IF('2. Data Mentah'!E$28=0, 1/('2. Data Mentah'!E14+1), '2. Data Mentah'!E$28/'2. Data Mentah'!E14)</f>
        <v>0.6666666667</v>
      </c>
      <c r="E14" s="13">
        <f>IF('2. Data Mentah'!F$27=0, 0, '2. Data Mentah'!F14/'2. Data Mentah'!F$27)</f>
        <v>0.7407407407</v>
      </c>
      <c r="F14" s="13">
        <f>IF('2. Data Mentah'!G$27=0, 0, '2. Data Mentah'!G14/'2. Data Mentah'!G$27)</f>
        <v>0.9285714286</v>
      </c>
      <c r="G14" s="13">
        <f>IF('2. Data Mentah'!H$27=0, 0, '2. Data Mentah'!H14/'2. Data Mentah'!H$27)</f>
        <v>0.8014488865</v>
      </c>
      <c r="J14" s="4">
        <f t="shared" si="1"/>
        <v>9</v>
      </c>
      <c r="K14" s="13">
        <f>C14*'1. Bobot Kriteria'!F6</f>
        <v>0.3</v>
      </c>
      <c r="L14" s="13">
        <f>D14*'1. Bobot Kriteria'!F7</f>
        <v>0.1333333333</v>
      </c>
      <c r="M14" s="13">
        <f>E14*'1. Bobot Kriteria'!F8</f>
        <v>0.1481481481</v>
      </c>
      <c r="N14" s="13">
        <f>F14*'1. Bobot Kriteria'!F9</f>
        <v>0.1392857143</v>
      </c>
      <c r="O14" s="13">
        <f>G14*'1. Bobot Kriteria'!F10</f>
        <v>0.120217333</v>
      </c>
      <c r="P14" s="13">
        <f t="shared" si="2"/>
        <v>0.8409845287</v>
      </c>
      <c r="Q14" s="13">
        <f t="shared" si="3"/>
        <v>0.8409843887</v>
      </c>
      <c r="S14" s="35" t="s">
        <v>170</v>
      </c>
      <c r="T14" s="33"/>
      <c r="U14" s="33"/>
      <c r="V14" s="33"/>
      <c r="W14" s="33"/>
      <c r="X14" s="33"/>
      <c r="Y14" s="33"/>
      <c r="Z14" s="33"/>
      <c r="AA14" s="34"/>
    </row>
    <row r="15" ht="16.5" customHeight="1">
      <c r="B15" s="4">
        <f>'2. Data Mentah'!B15</f>
        <v>10</v>
      </c>
      <c r="C15" s="13">
        <f>IF('2. Data Mentah'!D$28=0, 1/('2. Data Mentah'!D15+1), '2. Data Mentah'!D$28/'2. Data Mentah'!D15)</f>
        <v>0.07142857143</v>
      </c>
      <c r="D15" s="13">
        <f>IF('2. Data Mentah'!E$28=0, 1/('2. Data Mentah'!E15+1), '2. Data Mentah'!E$28/'2. Data Mentah'!E15)</f>
        <v>0.25</v>
      </c>
      <c r="E15" s="13">
        <f>IF('2. Data Mentah'!F$27=0, 0, '2. Data Mentah'!F15/'2. Data Mentah'!F$27)</f>
        <v>0.9722222222</v>
      </c>
      <c r="F15" s="13">
        <f>IF('2. Data Mentah'!G$27=0, 0, '2. Data Mentah'!G15/'2. Data Mentah'!G$27)</f>
        <v>0</v>
      </c>
      <c r="G15" s="13">
        <f>IF('2. Data Mentah'!H$27=0, 0, '2. Data Mentah'!H15/'2. Data Mentah'!H$27)</f>
        <v>0.6211430105</v>
      </c>
      <c r="J15" s="4">
        <f t="shared" si="1"/>
        <v>10</v>
      </c>
      <c r="K15" s="13">
        <f>C15*'1. Bobot Kriteria'!F6</f>
        <v>0.02142857143</v>
      </c>
      <c r="L15" s="13">
        <f>D15*'1. Bobot Kriteria'!F7</f>
        <v>0.05</v>
      </c>
      <c r="M15" s="13">
        <f>E15*'1. Bobot Kriteria'!F8</f>
        <v>0.1944444444</v>
      </c>
      <c r="N15" s="13">
        <f>F15*'1. Bobot Kriteria'!F9</f>
        <v>0</v>
      </c>
      <c r="O15" s="13">
        <f>G15*'1. Bobot Kriteria'!F10</f>
        <v>0.09317145157</v>
      </c>
      <c r="P15" s="13">
        <f t="shared" si="2"/>
        <v>0.3590444674</v>
      </c>
      <c r="Q15" s="13">
        <f t="shared" si="3"/>
        <v>0.3590443174</v>
      </c>
      <c r="S15" s="32" t="s">
        <v>171</v>
      </c>
      <c r="T15" s="33"/>
      <c r="U15" s="33"/>
      <c r="V15" s="33"/>
      <c r="W15" s="33"/>
      <c r="X15" s="33"/>
      <c r="Y15" s="33"/>
      <c r="Z15" s="33"/>
      <c r="AA15" s="34"/>
    </row>
    <row r="16" ht="16.5" customHeight="1">
      <c r="B16" s="4">
        <f>'2. Data Mentah'!B16</f>
        <v>11</v>
      </c>
      <c r="C16" s="13">
        <f>IF('2. Data Mentah'!D$28=0, 1/('2. Data Mentah'!D16+1), '2. Data Mentah'!D$28/'2. Data Mentah'!D16)</f>
        <v>0.1666666667</v>
      </c>
      <c r="D16" s="13">
        <f>IF('2. Data Mentah'!E$28=0, 1/('2. Data Mentah'!E16+1), '2. Data Mentah'!E$28/'2. Data Mentah'!E16)</f>
        <v>0.4</v>
      </c>
      <c r="E16" s="13">
        <f>IF('2. Data Mentah'!F$27=0, 0, '2. Data Mentah'!F16/'2. Data Mentah'!F$27)</f>
        <v>0</v>
      </c>
      <c r="F16" s="13">
        <f>IF('2. Data Mentah'!G$27=0, 0, '2. Data Mentah'!G16/'2. Data Mentah'!G$27)</f>
        <v>0.7142857143</v>
      </c>
      <c r="G16" s="13">
        <f>IF('2. Data Mentah'!H$27=0, 0, '2. Data Mentah'!H16/'2. Data Mentah'!H$27)</f>
        <v>0.5014757177</v>
      </c>
      <c r="J16" s="4">
        <f t="shared" si="1"/>
        <v>11</v>
      </c>
      <c r="K16" s="13">
        <f>C16*'1. Bobot Kriteria'!F6</f>
        <v>0.05</v>
      </c>
      <c r="L16" s="13">
        <f>D16*'1. Bobot Kriteria'!F7</f>
        <v>0.08</v>
      </c>
      <c r="M16" s="13">
        <f>E16*'1. Bobot Kriteria'!F8</f>
        <v>0</v>
      </c>
      <c r="N16" s="13">
        <f>F16*'1. Bobot Kriteria'!F9</f>
        <v>0.1071428571</v>
      </c>
      <c r="O16" s="13">
        <f>G16*'1. Bobot Kriteria'!F10</f>
        <v>0.07522135766</v>
      </c>
      <c r="P16" s="13">
        <f t="shared" si="2"/>
        <v>0.3123642148</v>
      </c>
      <c r="Q16" s="13">
        <f t="shared" si="3"/>
        <v>0.3123640548</v>
      </c>
      <c r="S16" s="32"/>
      <c r="T16" s="33"/>
      <c r="U16" s="33"/>
      <c r="V16" s="33"/>
      <c r="W16" s="33"/>
      <c r="X16" s="33"/>
      <c r="Y16" s="33"/>
      <c r="Z16" s="33"/>
      <c r="AA16" s="34"/>
    </row>
    <row r="17" ht="16.5" customHeight="1">
      <c r="B17" s="4">
        <f>'2. Data Mentah'!B17</f>
        <v>12</v>
      </c>
      <c r="C17" s="13">
        <f>IF('2. Data Mentah'!D$28=0, 1/('2. Data Mentah'!D17+1), '2. Data Mentah'!D$28/'2. Data Mentah'!D17)</f>
        <v>0.125</v>
      </c>
      <c r="D17" s="13">
        <f>IF('2. Data Mentah'!E$28=0, 1/('2. Data Mentah'!E17+1), '2. Data Mentah'!E$28/'2. Data Mentah'!E17)</f>
        <v>0.3333333333</v>
      </c>
      <c r="E17" s="13">
        <f>IF('2. Data Mentah'!F$27=0, 0, '2. Data Mentah'!F17/'2. Data Mentah'!F$27)</f>
        <v>0.1851851852</v>
      </c>
      <c r="F17" s="13">
        <f>IF('2. Data Mentah'!G$27=0, 0, '2. Data Mentah'!G17/'2. Data Mentah'!G$27)</f>
        <v>0.5714285714</v>
      </c>
      <c r="G17" s="13">
        <f>IF('2. Data Mentah'!H$27=0, 0, '2. Data Mentah'!H17/'2. Data Mentah'!H$27)</f>
        <v>0.4196404615</v>
      </c>
      <c r="J17" s="4">
        <f t="shared" si="1"/>
        <v>12</v>
      </c>
      <c r="K17" s="13">
        <f>C17*'1. Bobot Kriteria'!F6</f>
        <v>0.0375</v>
      </c>
      <c r="L17" s="13">
        <f>D17*'1. Bobot Kriteria'!F7</f>
        <v>0.06666666667</v>
      </c>
      <c r="M17" s="13">
        <f>E17*'1. Bobot Kriteria'!F8</f>
        <v>0.03703703704</v>
      </c>
      <c r="N17" s="13">
        <f>F17*'1. Bobot Kriteria'!F9</f>
        <v>0.08571428571</v>
      </c>
      <c r="O17" s="13">
        <f>G17*'1. Bobot Kriteria'!F10</f>
        <v>0.06294606922</v>
      </c>
      <c r="P17" s="13">
        <f t="shared" si="2"/>
        <v>0.2898640586</v>
      </c>
      <c r="Q17" s="13">
        <f t="shared" si="3"/>
        <v>0.2898638886</v>
      </c>
      <c r="S17" s="35" t="s">
        <v>172</v>
      </c>
      <c r="T17" s="33"/>
      <c r="U17" s="33"/>
      <c r="V17" s="33"/>
      <c r="W17" s="33"/>
      <c r="X17" s="33"/>
      <c r="Y17" s="33"/>
      <c r="Z17" s="33"/>
      <c r="AA17" s="34"/>
    </row>
    <row r="18" ht="16.5" customHeight="1">
      <c r="B18" s="4">
        <f>'2. Data Mentah'!B18</f>
        <v>13</v>
      </c>
      <c r="C18" s="13">
        <f>IF('2. Data Mentah'!D$28=0, 1/('2. Data Mentah'!D18+1), '2. Data Mentah'!D$28/'2. Data Mentah'!D18)</f>
        <v>0.06666666667</v>
      </c>
      <c r="D18" s="13">
        <f>IF('2. Data Mentah'!E$28=0, 1/('2. Data Mentah'!E18+1), '2. Data Mentah'!E$28/'2. Data Mentah'!E18)</f>
        <v>1</v>
      </c>
      <c r="E18" s="13">
        <f>IF('2. Data Mentah'!F$27=0, 0, '2. Data Mentah'!F18/'2. Data Mentah'!F$27)</f>
        <v>0</v>
      </c>
      <c r="F18" s="13">
        <f>IF('2. Data Mentah'!G$27=0, 0, '2. Data Mentah'!G18/'2. Data Mentah'!G$27)</f>
        <v>0.1428571429</v>
      </c>
      <c r="G18" s="13">
        <f>IF('2. Data Mentah'!H$27=0, 0, '2. Data Mentah'!H18/'2. Data Mentah'!H$27)</f>
        <v>0.4462033807</v>
      </c>
      <c r="J18" s="4">
        <f t="shared" si="1"/>
        <v>13</v>
      </c>
      <c r="K18" s="13">
        <f>C18*'1. Bobot Kriteria'!F6</f>
        <v>0.02</v>
      </c>
      <c r="L18" s="13">
        <f>D18*'1. Bobot Kriteria'!F7</f>
        <v>0.2</v>
      </c>
      <c r="M18" s="13">
        <f>E18*'1. Bobot Kriteria'!F8</f>
        <v>0</v>
      </c>
      <c r="N18" s="13">
        <f>F18*'1. Bobot Kriteria'!F9</f>
        <v>0.02142857143</v>
      </c>
      <c r="O18" s="13">
        <f>G18*'1. Bobot Kriteria'!F10</f>
        <v>0.06693050711</v>
      </c>
      <c r="P18" s="13">
        <f t="shared" si="2"/>
        <v>0.3083590785</v>
      </c>
      <c r="Q18" s="13">
        <f t="shared" si="3"/>
        <v>0.3083588985</v>
      </c>
      <c r="S18" s="35" t="s">
        <v>173</v>
      </c>
      <c r="T18" s="33"/>
      <c r="U18" s="33"/>
      <c r="V18" s="33"/>
      <c r="W18" s="33"/>
      <c r="X18" s="33"/>
      <c r="Y18" s="33"/>
      <c r="Z18" s="33"/>
      <c r="AA18" s="34"/>
    </row>
    <row r="19" ht="16.5" customHeight="1">
      <c r="B19" s="4">
        <f>'2. Data Mentah'!B19</f>
        <v>14</v>
      </c>
      <c r="C19" s="13">
        <f>IF('2. Data Mentah'!D$28=0, 1/('2. Data Mentah'!D19+1), '2. Data Mentah'!D$28/'2. Data Mentah'!D19)</f>
        <v>0.5</v>
      </c>
      <c r="D19" s="13">
        <f>IF('2. Data Mentah'!E$28=0, 1/('2. Data Mentah'!E19+1), '2. Data Mentah'!E$28/'2. Data Mentah'!E19)</f>
        <v>0.6666666667</v>
      </c>
      <c r="E19" s="13">
        <f>IF('2. Data Mentah'!F$27=0, 0, '2. Data Mentah'!F19/'2. Data Mentah'!F$27)</f>
        <v>0.3703703704</v>
      </c>
      <c r="F19" s="13">
        <f>IF('2. Data Mentah'!G$27=0, 0, '2. Data Mentah'!G19/'2. Data Mentah'!G$27)</f>
        <v>0.9285714286</v>
      </c>
      <c r="G19" s="13">
        <f>IF('2. Data Mentah'!H$27=0, 0, '2. Data Mentah'!H19/'2. Data Mentah'!H$27)</f>
        <v>0.4722296753</v>
      </c>
      <c r="J19" s="4">
        <f t="shared" si="1"/>
        <v>14</v>
      </c>
      <c r="K19" s="13">
        <f>C19*'1. Bobot Kriteria'!F6</f>
        <v>0.15</v>
      </c>
      <c r="L19" s="13">
        <f>D19*'1. Bobot Kriteria'!F7</f>
        <v>0.1333333333</v>
      </c>
      <c r="M19" s="13">
        <f>E19*'1. Bobot Kriteria'!F8</f>
        <v>0.07407407407</v>
      </c>
      <c r="N19" s="13">
        <f>F19*'1. Bobot Kriteria'!F9</f>
        <v>0.1392857143</v>
      </c>
      <c r="O19" s="13">
        <f>G19*'1. Bobot Kriteria'!F10</f>
        <v>0.0708344513</v>
      </c>
      <c r="P19" s="13">
        <f t="shared" si="2"/>
        <v>0.567527573</v>
      </c>
      <c r="Q19" s="13">
        <f t="shared" si="3"/>
        <v>0.567527383</v>
      </c>
      <c r="S19" s="35" t="s">
        <v>174</v>
      </c>
      <c r="T19" s="33"/>
      <c r="U19" s="33"/>
      <c r="V19" s="33"/>
      <c r="W19" s="33"/>
      <c r="X19" s="33"/>
      <c r="Y19" s="33"/>
      <c r="Z19" s="33"/>
      <c r="AA19" s="34"/>
    </row>
    <row r="20" ht="16.5" customHeight="1">
      <c r="B20" s="4">
        <f>'2. Data Mentah'!B20</f>
        <v>15</v>
      </c>
      <c r="C20" s="13">
        <f>IF('2. Data Mentah'!D$28=0, 1/('2. Data Mentah'!D20+1), '2. Data Mentah'!D$28/'2. Data Mentah'!D20)</f>
        <v>0.06666666667</v>
      </c>
      <c r="D20" s="13">
        <f>IF('2. Data Mentah'!E$28=0, 1/('2. Data Mentah'!E20+1), '2. Data Mentah'!E$28/'2. Data Mentah'!E20)</f>
        <v>0.4</v>
      </c>
      <c r="E20" s="13">
        <f>IF('2. Data Mentah'!F$27=0, 0, '2. Data Mentah'!F20/'2. Data Mentah'!F$27)</f>
        <v>0</v>
      </c>
      <c r="F20" s="13">
        <f>IF('2. Data Mentah'!G$27=0, 0, '2. Data Mentah'!G20/'2. Data Mentah'!G$27)</f>
        <v>0</v>
      </c>
      <c r="G20" s="13">
        <f>IF('2. Data Mentah'!H$27=0, 0, '2. Data Mentah'!H20/'2. Data Mentah'!H$27)</f>
        <v>0.8293533673</v>
      </c>
      <c r="J20" s="4">
        <f t="shared" si="1"/>
        <v>15</v>
      </c>
      <c r="K20" s="13">
        <f>C20*'1. Bobot Kriteria'!F6</f>
        <v>0.02</v>
      </c>
      <c r="L20" s="13">
        <f>D20*'1. Bobot Kriteria'!F7</f>
        <v>0.08</v>
      </c>
      <c r="M20" s="13">
        <f>E20*'1. Bobot Kriteria'!F8</f>
        <v>0</v>
      </c>
      <c r="N20" s="13">
        <f>F20*'1. Bobot Kriteria'!F9</f>
        <v>0</v>
      </c>
      <c r="O20" s="13">
        <f>G20*'1. Bobot Kriteria'!F10</f>
        <v>0.1244030051</v>
      </c>
      <c r="P20" s="13">
        <f t="shared" si="2"/>
        <v>0.2244030051</v>
      </c>
      <c r="Q20" s="13">
        <f t="shared" si="3"/>
        <v>0.2244028051</v>
      </c>
      <c r="S20" s="32"/>
      <c r="T20" s="33"/>
      <c r="U20" s="33"/>
      <c r="V20" s="33"/>
      <c r="W20" s="33"/>
      <c r="X20" s="33"/>
      <c r="Y20" s="33"/>
      <c r="Z20" s="33"/>
      <c r="AA20" s="34"/>
    </row>
    <row r="21" ht="16.5" customHeight="1">
      <c r="B21" s="4">
        <f>'2. Data Mentah'!B21</f>
        <v>16</v>
      </c>
      <c r="C21" s="13">
        <f>IF('2. Data Mentah'!D$28=0, 1/('2. Data Mentah'!D21+1), '2. Data Mentah'!D$28/'2. Data Mentah'!D21)</f>
        <v>0.5</v>
      </c>
      <c r="D21" s="13">
        <f>IF('2. Data Mentah'!E$28=0, 1/('2. Data Mentah'!E21+1), '2. Data Mentah'!E$28/'2. Data Mentah'!E21)</f>
        <v>0.2857142857</v>
      </c>
      <c r="E21" s="13">
        <f>IF('2. Data Mentah'!F$27=0, 0, '2. Data Mentah'!F21/'2. Data Mentah'!F$27)</f>
        <v>0.7936507937</v>
      </c>
      <c r="F21" s="13">
        <f>IF('2. Data Mentah'!G$27=0, 0, '2. Data Mentah'!G21/'2. Data Mentah'!G$27)</f>
        <v>0.7857142857</v>
      </c>
      <c r="G21" s="13">
        <f>IF('2. Data Mentah'!H$27=0, 0, '2. Data Mentah'!H21/'2. Data Mentah'!H$27)</f>
        <v>0.8317681782</v>
      </c>
      <c r="J21" s="4">
        <f t="shared" si="1"/>
        <v>16</v>
      </c>
      <c r="K21" s="13">
        <f>C21*'1. Bobot Kriteria'!F6</f>
        <v>0.15</v>
      </c>
      <c r="L21" s="13">
        <f>D21*'1. Bobot Kriteria'!F7</f>
        <v>0.05714285714</v>
      </c>
      <c r="M21" s="13">
        <f>E21*'1. Bobot Kriteria'!F8</f>
        <v>0.1587301587</v>
      </c>
      <c r="N21" s="13">
        <f>F21*'1. Bobot Kriteria'!F9</f>
        <v>0.1178571429</v>
      </c>
      <c r="O21" s="13">
        <f>G21*'1. Bobot Kriteria'!F10</f>
        <v>0.1247652267</v>
      </c>
      <c r="P21" s="13">
        <f t="shared" si="2"/>
        <v>0.6084953855</v>
      </c>
      <c r="Q21" s="13">
        <f t="shared" si="3"/>
        <v>0.6084951755</v>
      </c>
      <c r="S21" s="35" t="s">
        <v>175</v>
      </c>
      <c r="T21" s="33"/>
      <c r="U21" s="33"/>
      <c r="V21" s="33"/>
      <c r="W21" s="33"/>
      <c r="X21" s="33"/>
      <c r="Y21" s="33"/>
      <c r="Z21" s="33"/>
      <c r="AA21" s="34"/>
    </row>
    <row r="22" ht="16.5" customHeight="1">
      <c r="B22" s="4">
        <f>'2. Data Mentah'!B22</f>
        <v>17</v>
      </c>
      <c r="C22" s="13">
        <f>IF('2. Data Mentah'!D$28=0, 1/('2. Data Mentah'!D22+1), '2. Data Mentah'!D$28/'2. Data Mentah'!D22)</f>
        <v>0.1666666667</v>
      </c>
      <c r="D22" s="13">
        <f>IF('2. Data Mentah'!E$28=0, 1/('2. Data Mentah'!E22+1), '2. Data Mentah'!E$28/'2. Data Mentah'!E22)</f>
        <v>0.4</v>
      </c>
      <c r="E22" s="13">
        <f>IF('2. Data Mentah'!F$27=0, 0, '2. Data Mentah'!F22/'2. Data Mentah'!F$27)</f>
        <v>0.2222222222</v>
      </c>
      <c r="F22" s="13">
        <f>IF('2. Data Mentah'!G$27=0, 0, '2. Data Mentah'!G22/'2. Data Mentah'!G$27)</f>
        <v>0.7142857143</v>
      </c>
      <c r="G22" s="13">
        <f>IF('2. Data Mentah'!H$27=0, 0, '2. Data Mentah'!H22/'2. Data Mentah'!H$27)</f>
        <v>0.6509256775</v>
      </c>
      <c r="J22" s="4">
        <f t="shared" si="1"/>
        <v>17</v>
      </c>
      <c r="K22" s="13">
        <f>C22*'1. Bobot Kriteria'!F6</f>
        <v>0.05</v>
      </c>
      <c r="L22" s="13">
        <f>D22*'1. Bobot Kriteria'!F7</f>
        <v>0.08</v>
      </c>
      <c r="M22" s="13">
        <f>E22*'1. Bobot Kriteria'!F8</f>
        <v>0.04444444444</v>
      </c>
      <c r="N22" s="13">
        <f>F22*'1. Bobot Kriteria'!F9</f>
        <v>0.1071428571</v>
      </c>
      <c r="O22" s="13">
        <f>G22*'1. Bobot Kriteria'!F10</f>
        <v>0.09763885162</v>
      </c>
      <c r="P22" s="13">
        <f t="shared" si="2"/>
        <v>0.3792261532</v>
      </c>
      <c r="Q22" s="13">
        <f t="shared" si="3"/>
        <v>0.3792259332</v>
      </c>
      <c r="S22" s="32" t="s">
        <v>176</v>
      </c>
      <c r="T22" s="33"/>
      <c r="U22" s="33"/>
      <c r="V22" s="33"/>
      <c r="W22" s="33"/>
      <c r="X22" s="33"/>
      <c r="Y22" s="33"/>
      <c r="Z22" s="33"/>
      <c r="AA22" s="34"/>
    </row>
    <row r="23" ht="16.5" customHeight="1">
      <c r="B23" s="4">
        <f>'2. Data Mentah'!B23</f>
        <v>18</v>
      </c>
      <c r="C23" s="13">
        <f>IF('2. Data Mentah'!D$28=0, 1/('2. Data Mentah'!D23+1), '2. Data Mentah'!D$28/'2. Data Mentah'!D23)</f>
        <v>0.1428571429</v>
      </c>
      <c r="D23" s="13">
        <f>IF('2. Data Mentah'!E$28=0, 1/('2. Data Mentah'!E23+1), '2. Data Mentah'!E$28/'2. Data Mentah'!E23)</f>
        <v>0.2857142857</v>
      </c>
      <c r="E23" s="13">
        <f>IF('2. Data Mentah'!F$27=0, 0, '2. Data Mentah'!F23/'2. Data Mentah'!F$27)</f>
        <v>0.3174603175</v>
      </c>
      <c r="F23" s="13">
        <f>IF('2. Data Mentah'!G$27=0, 0, '2. Data Mentah'!G23/'2. Data Mentah'!G$27)</f>
        <v>0.4285714286</v>
      </c>
      <c r="G23" s="13">
        <f>IF('2. Data Mentah'!H$27=0, 0, '2. Data Mentah'!H23/'2. Data Mentah'!H$27)</f>
        <v>0.4800107325</v>
      </c>
      <c r="J23" s="4">
        <f t="shared" si="1"/>
        <v>18</v>
      </c>
      <c r="K23" s="13">
        <f>C23*'1. Bobot Kriteria'!F6</f>
        <v>0.04285714286</v>
      </c>
      <c r="L23" s="13">
        <f>D23*'1. Bobot Kriteria'!F7</f>
        <v>0.05714285714</v>
      </c>
      <c r="M23" s="13">
        <f>E23*'1. Bobot Kriteria'!F8</f>
        <v>0.06349206349</v>
      </c>
      <c r="N23" s="13">
        <f>F23*'1. Bobot Kriteria'!F9</f>
        <v>0.06428571429</v>
      </c>
      <c r="O23" s="13">
        <f>G23*'1. Bobot Kriteria'!F10</f>
        <v>0.07200160987</v>
      </c>
      <c r="P23" s="13">
        <f t="shared" si="2"/>
        <v>0.2997793877</v>
      </c>
      <c r="Q23" s="13">
        <f t="shared" si="3"/>
        <v>0.2997791577</v>
      </c>
      <c r="S23" s="35" t="s">
        <v>177</v>
      </c>
      <c r="T23" s="33"/>
      <c r="U23" s="33"/>
      <c r="V23" s="33"/>
      <c r="W23" s="33"/>
      <c r="X23" s="33"/>
      <c r="Y23" s="33"/>
      <c r="Z23" s="33"/>
      <c r="AA23" s="34"/>
    </row>
    <row r="24" ht="16.5" customHeight="1">
      <c r="B24" s="4">
        <f>'2. Data Mentah'!B24</f>
        <v>19</v>
      </c>
      <c r="C24" s="13">
        <f>IF('2. Data Mentah'!D$28=0, 1/('2. Data Mentah'!D24+1), '2. Data Mentah'!D$28/'2. Data Mentah'!D24)</f>
        <v>0.07692307692</v>
      </c>
      <c r="D24" s="13">
        <f>IF('2. Data Mentah'!E$28=0, 1/('2. Data Mentah'!E24+1), '2. Data Mentah'!E$28/'2. Data Mentah'!E24)</f>
        <v>0.2222222222</v>
      </c>
      <c r="E24" s="13">
        <f>IF('2. Data Mentah'!F$27=0, 0, '2. Data Mentah'!F24/'2. Data Mentah'!F$27)</f>
        <v>0.8641975309</v>
      </c>
      <c r="F24" s="13">
        <f>IF('2. Data Mentah'!G$27=0, 0, '2. Data Mentah'!G24/'2. Data Mentah'!G$27)</f>
        <v>0.1428571429</v>
      </c>
      <c r="G24" s="13">
        <f>IF('2. Data Mentah'!H$27=0, 0, '2. Data Mentah'!H24/'2. Data Mentah'!H$27)</f>
        <v>1</v>
      </c>
      <c r="J24" s="4">
        <f t="shared" si="1"/>
        <v>19</v>
      </c>
      <c r="K24" s="13">
        <f>C24*'1. Bobot Kriteria'!F6</f>
        <v>0.02307692308</v>
      </c>
      <c r="L24" s="13">
        <f>D24*'1. Bobot Kriteria'!F7</f>
        <v>0.04444444444</v>
      </c>
      <c r="M24" s="13">
        <f>E24*'1. Bobot Kriteria'!F8</f>
        <v>0.1728395062</v>
      </c>
      <c r="N24" s="13">
        <f>F24*'1. Bobot Kriteria'!F9</f>
        <v>0.02142857143</v>
      </c>
      <c r="O24" s="13">
        <f>G24*'1. Bobot Kriteria'!F10</f>
        <v>0.15</v>
      </c>
      <c r="P24" s="13">
        <f t="shared" si="2"/>
        <v>0.4117894451</v>
      </c>
      <c r="Q24" s="13">
        <f t="shared" si="3"/>
        <v>0.4117892051</v>
      </c>
      <c r="S24" s="32" t="s">
        <v>178</v>
      </c>
      <c r="T24" s="33"/>
      <c r="U24" s="33"/>
      <c r="V24" s="33"/>
      <c r="W24" s="33"/>
      <c r="X24" s="33"/>
      <c r="Y24" s="33"/>
      <c r="Z24" s="33"/>
      <c r="AA24" s="34"/>
    </row>
    <row r="25" ht="16.5" customHeight="1">
      <c r="B25" s="4">
        <f>'2. Data Mentah'!B25</f>
        <v>20</v>
      </c>
      <c r="C25" s="13">
        <f>IF('2. Data Mentah'!D$28=0, 1/('2. Data Mentah'!D25+1), '2. Data Mentah'!D$28/'2. Data Mentah'!D25)</f>
        <v>0.5</v>
      </c>
      <c r="D25" s="13">
        <f>IF('2. Data Mentah'!E$28=0, 1/('2. Data Mentah'!E25+1), '2. Data Mentah'!E$28/'2. Data Mentah'!E25)</f>
        <v>0.2857142857</v>
      </c>
      <c r="E25" s="13">
        <f>IF('2. Data Mentah'!F$27=0, 0, '2. Data Mentah'!F25/'2. Data Mentah'!F$27)</f>
        <v>0.7936507937</v>
      </c>
      <c r="F25" s="13">
        <f>IF('2. Data Mentah'!G$27=0, 0, '2. Data Mentah'!G25/'2. Data Mentah'!G$27)</f>
        <v>0.8571428571</v>
      </c>
      <c r="G25" s="13">
        <f>IF('2. Data Mentah'!H$27=0, 0, '2. Data Mentah'!H25/'2. Data Mentah'!H$27)</f>
        <v>0.7024416421</v>
      </c>
      <c r="J25" s="4">
        <f t="shared" si="1"/>
        <v>20</v>
      </c>
      <c r="K25" s="13">
        <f>C25*'1. Bobot Kriteria'!F6</f>
        <v>0.15</v>
      </c>
      <c r="L25" s="13">
        <f>D25*'1. Bobot Kriteria'!F7</f>
        <v>0.05714285714</v>
      </c>
      <c r="M25" s="13">
        <f>E25*'1. Bobot Kriteria'!F8</f>
        <v>0.1587301587</v>
      </c>
      <c r="N25" s="13">
        <f>F25*'1. Bobot Kriteria'!F9</f>
        <v>0.1285714286</v>
      </c>
      <c r="O25" s="13">
        <f>G25*'1. Bobot Kriteria'!F10</f>
        <v>0.1053662463</v>
      </c>
      <c r="P25" s="13">
        <f t="shared" si="2"/>
        <v>0.5998106908</v>
      </c>
      <c r="Q25" s="13">
        <f t="shared" si="3"/>
        <v>0.5998104408</v>
      </c>
      <c r="S25" s="35"/>
      <c r="T25" s="33"/>
      <c r="U25" s="33"/>
      <c r="V25" s="33"/>
      <c r="W25" s="33"/>
      <c r="X25" s="33"/>
      <c r="Y25" s="33"/>
      <c r="Z25" s="33"/>
      <c r="AA25" s="34"/>
    </row>
    <row r="26" ht="16.5" customHeight="1">
      <c r="S26" s="35" t="s">
        <v>179</v>
      </c>
      <c r="T26" s="33"/>
      <c r="U26" s="33"/>
      <c r="V26" s="33"/>
      <c r="W26" s="33"/>
      <c r="X26" s="33"/>
      <c r="Y26" s="33"/>
      <c r="Z26" s="33"/>
      <c r="AA26" s="34"/>
    </row>
    <row r="27" ht="16.5" customHeight="1">
      <c r="S27" s="36" t="s">
        <v>180</v>
      </c>
      <c r="T27" s="37"/>
      <c r="U27" s="37"/>
      <c r="V27" s="37"/>
      <c r="W27" s="37"/>
      <c r="X27" s="37"/>
      <c r="Y27" s="37"/>
      <c r="Z27" s="37"/>
      <c r="AA27" s="38"/>
    </row>
    <row r="28" ht="16.5" customHeight="1"/>
    <row r="29" ht="16.5" customHeight="1">
      <c r="S29" s="39" t="s">
        <v>181</v>
      </c>
      <c r="T29" s="40"/>
      <c r="U29" s="40"/>
      <c r="V29" s="40"/>
      <c r="W29" s="40"/>
      <c r="X29" s="40"/>
      <c r="Y29" s="40"/>
      <c r="Z29" s="40"/>
      <c r="AA29" s="41"/>
    </row>
    <row r="30" ht="16.5" customHeight="1">
      <c r="S30" s="42" t="s">
        <v>182</v>
      </c>
      <c r="T30" s="43"/>
      <c r="U30" s="43"/>
      <c r="V30" s="43"/>
      <c r="W30" s="43"/>
      <c r="X30" s="43"/>
      <c r="Y30" s="43"/>
      <c r="Z30" s="43"/>
      <c r="AA30" s="44"/>
    </row>
    <row r="31" ht="16.5" customHeight="1">
      <c r="S31" s="42" t="s">
        <v>183</v>
      </c>
      <c r="T31" s="43"/>
      <c r="U31" s="43"/>
      <c r="V31" s="43"/>
      <c r="W31" s="43"/>
      <c r="X31" s="43"/>
      <c r="Y31" s="43"/>
      <c r="Z31" s="43"/>
      <c r="AA31" s="44"/>
    </row>
    <row r="32" ht="16.5" customHeight="1">
      <c r="S32" s="45" t="s">
        <v>184</v>
      </c>
      <c r="T32" s="43"/>
      <c r="U32" s="43"/>
      <c r="V32" s="43"/>
      <c r="W32" s="43"/>
      <c r="X32" s="43"/>
      <c r="Y32" s="43"/>
      <c r="Z32" s="43"/>
      <c r="AA32" s="44"/>
    </row>
    <row r="33" ht="16.5" customHeight="1">
      <c r="S33" s="42"/>
      <c r="T33" s="43"/>
      <c r="U33" s="43"/>
      <c r="V33" s="43"/>
      <c r="W33" s="43"/>
      <c r="X33" s="43"/>
      <c r="Y33" s="43"/>
      <c r="Z33" s="43"/>
      <c r="AA33" s="44"/>
    </row>
    <row r="34" ht="16.5" customHeight="1">
      <c r="S34" s="42" t="s">
        <v>185</v>
      </c>
      <c r="T34" s="43"/>
      <c r="U34" s="43"/>
      <c r="V34" s="43"/>
      <c r="W34" s="43"/>
      <c r="X34" s="43"/>
      <c r="Y34" s="43"/>
      <c r="Z34" s="43"/>
      <c r="AA34" s="44"/>
    </row>
    <row r="35" ht="16.5" customHeight="1">
      <c r="S35" s="42" t="s">
        <v>186</v>
      </c>
      <c r="T35" s="43"/>
      <c r="U35" s="43"/>
      <c r="V35" s="43"/>
      <c r="W35" s="43"/>
      <c r="X35" s="43"/>
      <c r="Y35" s="43"/>
      <c r="Z35" s="43"/>
      <c r="AA35" s="44"/>
    </row>
    <row r="36" ht="16.5" customHeight="1">
      <c r="S36" s="45" t="s">
        <v>187</v>
      </c>
      <c r="T36" s="43"/>
      <c r="U36" s="43"/>
      <c r="V36" s="43"/>
      <c r="W36" s="43"/>
      <c r="X36" s="43"/>
      <c r="Y36" s="43"/>
      <c r="Z36" s="43"/>
      <c r="AA36" s="44"/>
    </row>
    <row r="37" ht="16.5" customHeight="1">
      <c r="S37" s="42"/>
      <c r="T37" s="43"/>
      <c r="U37" s="43"/>
      <c r="V37" s="43"/>
      <c r="W37" s="43"/>
      <c r="X37" s="43"/>
      <c r="Y37" s="43"/>
      <c r="Z37" s="43"/>
      <c r="AA37" s="44"/>
    </row>
    <row r="38" ht="16.5" customHeight="1">
      <c r="S38" s="42" t="s">
        <v>188</v>
      </c>
      <c r="T38" s="43"/>
      <c r="U38" s="43"/>
      <c r="V38" s="43"/>
      <c r="W38" s="43"/>
      <c r="X38" s="43"/>
      <c r="Y38" s="43"/>
      <c r="Z38" s="43"/>
      <c r="AA38" s="44"/>
    </row>
    <row r="39" ht="16.5" customHeight="1">
      <c r="S39" s="45" t="s">
        <v>189</v>
      </c>
      <c r="T39" s="43"/>
      <c r="U39" s="43"/>
      <c r="V39" s="43"/>
      <c r="W39" s="43"/>
      <c r="X39" s="43"/>
      <c r="Y39" s="43"/>
      <c r="Z39" s="43"/>
      <c r="AA39" s="44"/>
    </row>
    <row r="40" ht="16.5" customHeight="1">
      <c r="S40" s="45" t="s">
        <v>190</v>
      </c>
      <c r="T40" s="43"/>
      <c r="U40" s="43"/>
      <c r="V40" s="43"/>
      <c r="W40" s="43"/>
      <c r="X40" s="43"/>
      <c r="Y40" s="43"/>
      <c r="Z40" s="43"/>
      <c r="AA40" s="44"/>
    </row>
    <row r="41" ht="16.5" customHeight="1">
      <c r="S41" s="45"/>
      <c r="T41" s="43"/>
      <c r="U41" s="43"/>
      <c r="V41" s="43"/>
      <c r="W41" s="43"/>
      <c r="X41" s="43"/>
      <c r="Y41" s="43"/>
      <c r="Z41" s="43"/>
      <c r="AA41" s="44"/>
    </row>
    <row r="42" ht="16.5" customHeight="1">
      <c r="S42" s="42" t="s">
        <v>191</v>
      </c>
      <c r="T42" s="43"/>
      <c r="U42" s="43"/>
      <c r="V42" s="43"/>
      <c r="W42" s="43"/>
      <c r="X42" s="43"/>
      <c r="Y42" s="43"/>
      <c r="Z42" s="43"/>
      <c r="AA42" s="44"/>
    </row>
    <row r="43" ht="16.5" customHeight="1">
      <c r="S43" s="42" t="s">
        <v>192</v>
      </c>
      <c r="T43" s="43"/>
      <c r="U43" s="43"/>
      <c r="V43" s="43"/>
      <c r="W43" s="43"/>
      <c r="X43" s="43"/>
      <c r="Y43" s="43"/>
      <c r="Z43" s="43"/>
      <c r="AA43" s="44"/>
    </row>
    <row r="44" ht="16.5" customHeight="1">
      <c r="S44" s="45" t="s">
        <v>193</v>
      </c>
      <c r="T44" s="43"/>
      <c r="U44" s="43"/>
      <c r="V44" s="43"/>
      <c r="W44" s="43"/>
      <c r="X44" s="43"/>
      <c r="Y44" s="43"/>
      <c r="Z44" s="43"/>
      <c r="AA44" s="44"/>
    </row>
    <row r="45" ht="16.5" customHeight="1">
      <c r="S45" s="42"/>
      <c r="T45" s="43"/>
      <c r="U45" s="43"/>
      <c r="V45" s="43"/>
      <c r="W45" s="43"/>
      <c r="X45" s="43"/>
      <c r="Y45" s="43"/>
      <c r="Z45" s="43"/>
      <c r="AA45" s="44"/>
    </row>
    <row r="46" ht="16.5" customHeight="1">
      <c r="S46" s="42" t="s">
        <v>194</v>
      </c>
      <c r="T46" s="43"/>
      <c r="U46" s="43"/>
      <c r="V46" s="43"/>
      <c r="W46" s="43"/>
      <c r="X46" s="43"/>
      <c r="Y46" s="43"/>
      <c r="Z46" s="43"/>
      <c r="AA46" s="44"/>
    </row>
    <row r="47" ht="16.5" customHeight="1">
      <c r="S47" s="42" t="s">
        <v>195</v>
      </c>
      <c r="T47" s="43"/>
      <c r="U47" s="43"/>
      <c r="V47" s="43"/>
      <c r="W47" s="43"/>
      <c r="X47" s="43"/>
      <c r="Y47" s="43"/>
      <c r="Z47" s="43"/>
      <c r="AA47" s="44"/>
    </row>
    <row r="48" ht="16.5" customHeight="1">
      <c r="S48" s="46" t="s">
        <v>196</v>
      </c>
      <c r="T48" s="47"/>
      <c r="U48" s="47"/>
      <c r="V48" s="47"/>
      <c r="W48" s="47"/>
      <c r="X48" s="47"/>
      <c r="Y48" s="47"/>
      <c r="Z48" s="47"/>
      <c r="AA48" s="48"/>
    </row>
    <row r="49" ht="16.5" customHeight="1"/>
    <row r="50" ht="16.5" customHeight="1">
      <c r="S50" s="49" t="s">
        <v>197</v>
      </c>
      <c r="T50" s="50"/>
      <c r="U50" s="50"/>
      <c r="V50" s="50"/>
      <c r="W50" s="50"/>
      <c r="X50" s="50"/>
      <c r="Y50" s="50"/>
      <c r="Z50" s="50"/>
      <c r="AA50" s="51"/>
    </row>
    <row r="51" ht="16.5" customHeight="1">
      <c r="S51" s="52" t="s">
        <v>198</v>
      </c>
      <c r="T51" s="53"/>
      <c r="U51" s="53"/>
      <c r="V51" s="53"/>
      <c r="W51" s="53"/>
      <c r="X51" s="53"/>
      <c r="Y51" s="53"/>
      <c r="Z51" s="53"/>
      <c r="AA51" s="54"/>
    </row>
    <row r="52" ht="16.5" customHeight="1">
      <c r="S52" s="52" t="s">
        <v>199</v>
      </c>
      <c r="T52" s="53"/>
      <c r="U52" s="53"/>
      <c r="V52" s="53"/>
      <c r="W52" s="53"/>
      <c r="X52" s="53"/>
      <c r="Y52" s="53"/>
      <c r="Z52" s="53"/>
      <c r="AA52" s="54"/>
    </row>
    <row r="53" ht="16.5" customHeight="1">
      <c r="S53" s="52" t="s">
        <v>200</v>
      </c>
      <c r="T53" s="53"/>
      <c r="U53" s="53"/>
      <c r="V53" s="53"/>
      <c r="W53" s="53"/>
      <c r="X53" s="53"/>
      <c r="Y53" s="53"/>
      <c r="Z53" s="53"/>
      <c r="AA53" s="54"/>
    </row>
    <row r="54" ht="16.5" customHeight="1">
      <c r="S54" s="55" t="s">
        <v>201</v>
      </c>
      <c r="T54" s="53"/>
      <c r="U54" s="53"/>
      <c r="V54" s="53"/>
      <c r="W54" s="53"/>
      <c r="X54" s="53"/>
      <c r="Y54" s="53"/>
      <c r="Z54" s="53"/>
      <c r="AA54" s="54"/>
    </row>
    <row r="55" ht="16.5" customHeight="1">
      <c r="S55" s="56"/>
      <c r="T55" s="57"/>
      <c r="U55" s="57"/>
      <c r="V55" s="57"/>
      <c r="W55" s="57"/>
      <c r="X55" s="57"/>
      <c r="Y55" s="57"/>
      <c r="Z55" s="57"/>
      <c r="AA55" s="58"/>
    </row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3:H3"/>
    <mergeCell ref="J3:P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5.75"/>
    <col customWidth="1" min="2" max="2" width="8.75"/>
    <col customWidth="1" min="3" max="3" width="12.75"/>
    <col customWidth="1" min="4" max="4" width="18.75"/>
    <col customWidth="1" min="5" max="5" width="15.75"/>
    <col customWidth="1" min="6" max="6" width="25.75"/>
    <col customWidth="1" min="7" max="7" width="22.75"/>
    <col customWidth="1" min="8" max="8" width="5.75"/>
    <col customWidth="1" min="9" max="9" width="18.75"/>
    <col customWidth="1" min="10" max="10" width="28.75"/>
    <col customWidth="1" min="11" max="11" width="65.75"/>
  </cols>
  <sheetData>
    <row r="1" ht="16.5" customHeight="1"/>
    <row r="2" ht="16.5" customHeight="1">
      <c r="B2" s="1" t="s">
        <v>202</v>
      </c>
    </row>
    <row r="3" ht="16.5" customHeight="1">
      <c r="B3" s="17" t="s">
        <v>203</v>
      </c>
      <c r="C3" s="18"/>
      <c r="D3" s="18"/>
      <c r="E3" s="18"/>
      <c r="F3" s="18"/>
      <c r="G3" s="12"/>
    </row>
    <row r="4" ht="16.5" customHeight="1">
      <c r="I4" s="2" t="s">
        <v>204</v>
      </c>
    </row>
    <row r="5" ht="16.5" customHeight="1">
      <c r="B5" s="59" t="s">
        <v>2</v>
      </c>
      <c r="C5" s="59" t="s">
        <v>205</v>
      </c>
      <c r="D5" s="59" t="s">
        <v>206</v>
      </c>
      <c r="E5" s="59" t="s">
        <v>3</v>
      </c>
      <c r="F5" s="59" t="s">
        <v>4</v>
      </c>
      <c r="G5" s="59" t="s">
        <v>207</v>
      </c>
      <c r="I5" s="3" t="s">
        <v>208</v>
      </c>
      <c r="J5" s="3" t="s">
        <v>209</v>
      </c>
      <c r="K5" s="3" t="s">
        <v>210</v>
      </c>
    </row>
    <row r="6" ht="16.5" customHeight="1">
      <c r="B6" s="60">
        <f t="array" ref="B6">INDEX('3. Normalisasi &amp; V'!J$6:J$10000, MATCH(D6, '3. Normalisasi &amp; V'!Q$6:Q$10000, 0))</f>
        <v>9</v>
      </c>
      <c r="C6" s="60">
        <v>1.0</v>
      </c>
      <c r="D6" s="61">
        <f>LARGE('3. Normalisasi &amp; V'!Q$6:Q$10000, 1)</f>
        <v>0.8409843887</v>
      </c>
      <c r="E6" s="60" t="str">
        <f>VLOOKUP(B6, '0. Data Sumber'!B$6:C$10000, 2, 0)</f>
        <v>VN2329</v>
      </c>
      <c r="F6" s="62" t="str">
        <f>VLOOKUP(B6, '0. Data Sumber'!B$6:D$10000, 3, 0)</f>
        <v>Dwi Wahyuni</v>
      </c>
      <c r="G6" s="60" t="str">
        <f t="shared" ref="G6:G25" si="1">IF(D6&gt;=0.75, "Prioritas Tinggi", IF(D6&gt;=0.5, "Prioritas Sedang", "Prioritas Rendah"))</f>
        <v>Prioritas Tinggi</v>
      </c>
      <c r="I6" s="15" t="s">
        <v>211</v>
      </c>
      <c r="J6" s="4" t="s">
        <v>212</v>
      </c>
      <c r="K6" s="5" t="s">
        <v>213</v>
      </c>
    </row>
    <row r="7" ht="16.5" customHeight="1">
      <c r="B7" s="60">
        <f t="array" ref="B7">INDEX('3. Normalisasi &amp; V'!J$6:J$10000, MATCH(D7, '3. Normalisasi &amp; V'!Q$6:Q$10000, 0))</f>
        <v>3</v>
      </c>
      <c r="C7" s="60">
        <v>2.0</v>
      </c>
      <c r="D7" s="61">
        <f>LARGE('3. Normalisasi &amp; V'!Q$6:Q$10000, 2)</f>
        <v>0.6604821534</v>
      </c>
      <c r="E7" s="60" t="str">
        <f>VLOOKUP(B7, '0. Data Sumber'!B$6:C$10000, 2, 0)</f>
        <v>SG7127</v>
      </c>
      <c r="F7" s="62" t="str">
        <f>VLOOKUP(B7, '0. Data Sumber'!B$6:D$10000, 3, 0)</f>
        <v>Joko Susanto</v>
      </c>
      <c r="G7" s="60" t="str">
        <f t="shared" si="1"/>
        <v>Prioritas Sedang</v>
      </c>
      <c r="I7" s="63" t="s">
        <v>214</v>
      </c>
      <c r="J7" s="4" t="s">
        <v>215</v>
      </c>
      <c r="K7" s="5" t="s">
        <v>216</v>
      </c>
    </row>
    <row r="8" ht="16.5" customHeight="1">
      <c r="B8" s="60">
        <f t="array" ref="B8">INDEX('3. Normalisasi &amp; V'!J$6:J$10000, MATCH(D8, '3. Normalisasi &amp; V'!Q$6:Q$10000, 0))</f>
        <v>5</v>
      </c>
      <c r="C8" s="60">
        <v>3.0</v>
      </c>
      <c r="D8" s="61">
        <f>LARGE('3. Normalisasi &amp; V'!Q$6:Q$10000, 3)</f>
        <v>0.6342580164</v>
      </c>
      <c r="E8" s="60" t="str">
        <f>VLOOKUP(B8, '0. Data Sumber'!B$6:C$10000, 2, 0)</f>
        <v>MB5413</v>
      </c>
      <c r="F8" s="62" t="str">
        <f>VLOOKUP(B8, '0. Data Sumber'!B$6:D$10000, 3, 0)</f>
        <v>Nina Marlina</v>
      </c>
      <c r="G8" s="60" t="str">
        <f t="shared" si="1"/>
        <v>Prioritas Sedang</v>
      </c>
      <c r="I8" s="16" t="s">
        <v>217</v>
      </c>
      <c r="J8" s="4" t="s">
        <v>218</v>
      </c>
      <c r="K8" s="5" t="s">
        <v>219</v>
      </c>
    </row>
    <row r="9" ht="16.5" customHeight="1">
      <c r="B9" s="60">
        <f t="array" ref="B9">INDEX('3. Normalisasi &amp; V'!J$6:J$10000, MATCH(D9, '3. Normalisasi &amp; V'!Q$6:Q$10000, 0))</f>
        <v>16</v>
      </c>
      <c r="C9" s="60">
        <v>4.0</v>
      </c>
      <c r="D9" s="61">
        <f>LARGE('3. Normalisasi &amp; V'!Q$6:Q$10000, 4)</f>
        <v>0.6084951755</v>
      </c>
      <c r="E9" s="60" t="str">
        <f>VLOOKUP(B9, '0. Data Sumber'!B$6:C$10000, 2, 0)</f>
        <v>JA1781</v>
      </c>
      <c r="F9" s="62" t="str">
        <f>VLOOKUP(B9, '0. Data Sumber'!B$6:D$10000, 3, 0)</f>
        <v>Dian Pertiwi</v>
      </c>
      <c r="G9" s="60" t="str">
        <f t="shared" si="1"/>
        <v>Prioritas Sedang</v>
      </c>
    </row>
    <row r="10" ht="16.5" customHeight="1">
      <c r="B10" s="60">
        <f t="array" ref="B10">INDEX('3. Normalisasi &amp; V'!J$6:J$10000, MATCH(D10, '3. Normalisasi &amp; V'!Q$6:Q$10000, 0))</f>
        <v>20</v>
      </c>
      <c r="C10" s="60">
        <v>5.0</v>
      </c>
      <c r="D10" s="61">
        <f>LARGE('3. Normalisasi &amp; V'!Q$6:Q$10000, 5)</f>
        <v>0.5998104408</v>
      </c>
      <c r="E10" s="60" t="str">
        <f>VLOOKUP(B10, '0. Data Sumber'!B$6:C$10000, 2, 0)</f>
        <v>JO2312</v>
      </c>
      <c r="F10" s="62" t="str">
        <f>VLOOKUP(B10, '0. Data Sumber'!B$6:D$10000, 3, 0)</f>
        <v>Mega Lestari</v>
      </c>
      <c r="G10" s="60" t="str">
        <f t="shared" si="1"/>
        <v>Prioritas Sedang</v>
      </c>
    </row>
    <row r="11" ht="16.5" customHeight="1">
      <c r="B11" s="60">
        <f t="array" ref="B11">INDEX('3. Normalisasi &amp; V'!J$6:J$10000, MATCH(D11, '3. Normalisasi &amp; V'!Q$6:Q$10000, 0))</f>
        <v>14</v>
      </c>
      <c r="C11" s="60">
        <v>6.0</v>
      </c>
      <c r="D11" s="61">
        <f>LARGE('3. Normalisasi &amp; V'!Q$6:Q$10000, 6)</f>
        <v>0.567527383</v>
      </c>
      <c r="E11" s="60" t="str">
        <f>VLOOKUP(B11, '0. Data Sumber'!B$6:C$10000, 2, 0)</f>
        <v>FN3384</v>
      </c>
      <c r="F11" s="62" t="str">
        <f>VLOOKUP(B11, '0. Data Sumber'!B$6:D$10000, 3, 0)</f>
        <v>Rika Amelia</v>
      </c>
      <c r="G11" s="60" t="str">
        <f t="shared" si="1"/>
        <v>Prioritas Sedang</v>
      </c>
    </row>
    <row r="12" ht="16.5" customHeight="1">
      <c r="B12" s="60">
        <f t="array" ref="B12">INDEX('3. Normalisasi &amp; V'!J$6:J$10000, MATCH(D12, '3. Normalisasi &amp; V'!Q$6:Q$10000, 0))</f>
        <v>1</v>
      </c>
      <c r="C12" s="60">
        <v>7.0</v>
      </c>
      <c r="D12" s="61">
        <f>LARGE('3. Normalisasi &amp; V'!Q$6:Q$10000, 7)</f>
        <v>0.4382657481</v>
      </c>
      <c r="E12" s="60" t="str">
        <f>VLOOKUP(B12, '0. Data Sumber'!B$6:C$10000, 2, 0)</f>
        <v>HH3183</v>
      </c>
      <c r="F12" s="62" t="str">
        <f>VLOOKUP(B12, '0. Data Sumber'!B$6:D$10000, 3, 0)</f>
        <v>Rian Mulyadi</v>
      </c>
      <c r="G12" s="60" t="str">
        <f t="shared" si="1"/>
        <v>Prioritas Rendah</v>
      </c>
    </row>
    <row r="13" ht="16.5" customHeight="1">
      <c r="B13" s="60">
        <f t="array" ref="B13">INDEX('3. Normalisasi &amp; V'!J$6:J$10000, MATCH(D13, '3. Normalisasi &amp; V'!Q$6:Q$10000, 0))</f>
        <v>19</v>
      </c>
      <c r="C13" s="60">
        <v>8.0</v>
      </c>
      <c r="D13" s="61">
        <f>LARGE('3. Normalisasi &amp; V'!Q$6:Q$10000, 8)</f>
        <v>0.4117892051</v>
      </c>
      <c r="E13" s="60" t="str">
        <f>VLOOKUP(B13, '0. Data Sumber'!B$6:C$10000, 2, 0)</f>
        <v>HU6089</v>
      </c>
      <c r="F13" s="62" t="str">
        <f>VLOOKUP(B13, '0. Data Sumber'!B$6:D$10000, 3, 0)</f>
        <v>Arif Rahman</v>
      </c>
      <c r="G13" s="60" t="str">
        <f t="shared" si="1"/>
        <v>Prioritas Rendah</v>
      </c>
    </row>
    <row r="14" ht="16.5" customHeight="1">
      <c r="B14" s="60">
        <f t="array" ref="B14">INDEX('3. Normalisasi &amp; V'!J$6:J$10000, MATCH(D14, '3. Normalisasi &amp; V'!Q$6:Q$10000, 0))</f>
        <v>17</v>
      </c>
      <c r="C14" s="60">
        <v>9.0</v>
      </c>
      <c r="D14" s="61">
        <f>LARGE('3. Normalisasi &amp; V'!Q$6:Q$10000, 9)</f>
        <v>0.3792259332</v>
      </c>
      <c r="E14" s="60" t="str">
        <f>VLOOKUP(B14, '0. Data Sumber'!B$6:C$10000, 2, 0)</f>
        <v>ZM7323</v>
      </c>
      <c r="F14" s="62" t="str">
        <f>VLOOKUP(B14, '0. Data Sumber'!B$6:D$10000, 3, 0)</f>
        <v>Iwan Kurniadi</v>
      </c>
      <c r="G14" s="60" t="str">
        <f t="shared" si="1"/>
        <v>Prioritas Rendah</v>
      </c>
    </row>
    <row r="15" ht="16.5" customHeight="1">
      <c r="B15" s="60">
        <f t="array" ref="B15">INDEX('3. Normalisasi &amp; V'!J$6:J$10000, MATCH(D15, '3. Normalisasi &amp; V'!Q$6:Q$10000, 0))</f>
        <v>10</v>
      </c>
      <c r="C15" s="60">
        <v>10.0</v>
      </c>
      <c r="D15" s="61">
        <f>LARGE('3. Normalisasi &amp; V'!Q$6:Q$10000, 10)</f>
        <v>0.3590443174</v>
      </c>
      <c r="E15" s="60" t="str">
        <f>VLOOKUP(B15, '0. Data Sumber'!B$6:C$10000, 2, 0)</f>
        <v>TA7243</v>
      </c>
      <c r="F15" s="62" t="str">
        <f>VLOOKUP(B15, '0. Data Sumber'!B$6:D$10000, 3, 0)</f>
        <v>Tri Novianto</v>
      </c>
      <c r="G15" s="60" t="str">
        <f t="shared" si="1"/>
        <v>Prioritas Rendah</v>
      </c>
    </row>
    <row r="16" ht="16.5" customHeight="1">
      <c r="B16" s="60">
        <f t="array" ref="B16">INDEX('3. Normalisasi &amp; V'!J$6:J$10000, MATCH(D16, '3. Normalisasi &amp; V'!Q$6:Q$10000, 0))</f>
        <v>4</v>
      </c>
      <c r="C16" s="60">
        <v>11.0</v>
      </c>
      <c r="D16" s="61">
        <f>LARGE('3. Normalisasi &amp; V'!Q$6:Q$10000, 11)</f>
        <v>0.3563001387</v>
      </c>
      <c r="E16" s="60" t="str">
        <f>VLOOKUP(B16, '0. Data Sumber'!B$6:C$10000, 2, 0)</f>
        <v>VF6551</v>
      </c>
      <c r="F16" s="62" t="str">
        <f>VLOOKUP(B16, '0. Data Sumber'!B$6:D$10000, 3, 0)</f>
        <v>Budi Santoso</v>
      </c>
      <c r="G16" s="60" t="str">
        <f t="shared" si="1"/>
        <v>Prioritas Rendah</v>
      </c>
    </row>
    <row r="17" ht="16.5" customHeight="1">
      <c r="B17" s="60">
        <f t="array" ref="B17">INDEX('3. Normalisasi &amp; V'!J$6:J$10000, MATCH(D17, '3. Normalisasi &amp; V'!Q$6:Q$10000, 0))</f>
        <v>2</v>
      </c>
      <c r="C17" s="60">
        <v>12.0</v>
      </c>
      <c r="D17" s="61">
        <f>LARGE('3. Normalisasi &amp; V'!Q$6:Q$10000, 12)</f>
        <v>0.3181881388</v>
      </c>
      <c r="E17" s="60" t="str">
        <f>VLOOKUP(B17, '0. Data Sumber'!B$6:C$10000, 2, 0)</f>
        <v>VW9824</v>
      </c>
      <c r="F17" s="62" t="str">
        <f>VLOOKUP(B17, '0. Data Sumber'!B$6:D$10000, 3, 0)</f>
        <v>Sari Handayani</v>
      </c>
      <c r="G17" s="60" t="str">
        <f t="shared" si="1"/>
        <v>Prioritas Rendah</v>
      </c>
    </row>
    <row r="18" ht="16.5" customHeight="1">
      <c r="B18" s="60">
        <f t="array" ref="B18">INDEX('3. Normalisasi &amp; V'!J$6:J$10000, MATCH(D18, '3. Normalisasi &amp; V'!Q$6:Q$10000, 0))</f>
        <v>11</v>
      </c>
      <c r="C18" s="60">
        <v>13.0</v>
      </c>
      <c r="D18" s="61">
        <f>LARGE('3. Normalisasi &amp; V'!Q$6:Q$10000, 13)</f>
        <v>0.3123640548</v>
      </c>
      <c r="E18" s="60" t="str">
        <f>VLOOKUP(B18, '0. Data Sumber'!B$6:C$10000, 2, 0)</f>
        <v>ZB4464</v>
      </c>
      <c r="F18" s="62" t="str">
        <f>VLOOKUP(B18, '0. Data Sumber'!B$6:D$10000, 3, 0)</f>
        <v>Indra Gunawan</v>
      </c>
      <c r="G18" s="60" t="str">
        <f t="shared" si="1"/>
        <v>Prioritas Rendah</v>
      </c>
    </row>
    <row r="19" ht="16.5" customHeight="1">
      <c r="B19" s="60">
        <f t="array" ref="B19">INDEX('3. Normalisasi &amp; V'!J$6:J$10000, MATCH(D19, '3. Normalisasi &amp; V'!Q$6:Q$10000, 0))</f>
        <v>13</v>
      </c>
      <c r="C19" s="60">
        <v>14.0</v>
      </c>
      <c r="D19" s="61">
        <f>LARGE('3. Normalisasi &amp; V'!Q$6:Q$10000, 14)</f>
        <v>0.3083588985</v>
      </c>
      <c r="E19" s="60" t="str">
        <f>VLOOKUP(B19, '0. Data Sumber'!B$6:C$10000, 2, 0)</f>
        <v>TN3037</v>
      </c>
      <c r="F19" s="62" t="str">
        <f>VLOOKUP(B19, '0. Data Sumber'!B$6:D$10000, 3, 0)</f>
        <v>Hendra Setiawan</v>
      </c>
      <c r="G19" s="60" t="str">
        <f t="shared" si="1"/>
        <v>Prioritas Rendah</v>
      </c>
    </row>
    <row r="20" ht="16.5" customHeight="1">
      <c r="B20" s="60">
        <f t="array" ref="B20">INDEX('3. Normalisasi &amp; V'!J$6:J$10000, MATCH(D20, '3. Normalisasi &amp; V'!Q$6:Q$10000, 0))</f>
        <v>18</v>
      </c>
      <c r="C20" s="60">
        <v>15.0</v>
      </c>
      <c r="D20" s="61">
        <f>LARGE('3. Normalisasi &amp; V'!Q$6:Q$10000, 15)</f>
        <v>0.2997791577</v>
      </c>
      <c r="E20" s="60" t="str">
        <f>VLOOKUP(B20, '0. Data Sumber'!B$6:C$10000, 2, 0)</f>
        <v>BL7530</v>
      </c>
      <c r="F20" s="62" t="str">
        <f>VLOOKUP(B20, '0. Data Sumber'!B$6:D$10000, 3, 0)</f>
        <v>Lia Safitri</v>
      </c>
      <c r="G20" s="60" t="str">
        <f t="shared" si="1"/>
        <v>Prioritas Rendah</v>
      </c>
    </row>
    <row r="21" ht="16.5" customHeight="1">
      <c r="B21" s="60">
        <f t="array" ref="B21">INDEX('3. Normalisasi &amp; V'!J$6:J$10000, MATCH(D21, '3. Normalisasi &amp; V'!Q$6:Q$10000, 0))</f>
        <v>12</v>
      </c>
      <c r="C21" s="60">
        <v>16.0</v>
      </c>
      <c r="D21" s="61">
        <f>LARGE('3. Normalisasi &amp; V'!Q$6:Q$10000, 16)</f>
        <v>0.2898638886</v>
      </c>
      <c r="E21" s="60" t="str">
        <f>VLOOKUP(B21, '0. Data Sumber'!B$6:C$10000, 2, 0)</f>
        <v>LW8801</v>
      </c>
      <c r="F21" s="62" t="str">
        <f>VLOOKUP(B21, '0. Data Sumber'!B$6:D$10000, 3, 0)</f>
        <v>Maya Fitriani</v>
      </c>
      <c r="G21" s="60" t="str">
        <f t="shared" si="1"/>
        <v>Prioritas Rendah</v>
      </c>
    </row>
    <row r="22" ht="16.5" customHeight="1">
      <c r="B22" s="60">
        <f t="array" ref="B22">INDEX('3. Normalisasi &amp; V'!J$6:J$10000, MATCH(D22, '3. Normalisasi &amp; V'!Q$6:Q$10000, 0))</f>
        <v>6</v>
      </c>
      <c r="C22" s="60">
        <v>17.0</v>
      </c>
      <c r="D22" s="61">
        <f>LARGE('3. Normalisasi &amp; V'!Q$6:Q$10000, 17)</f>
        <v>0.2887694225</v>
      </c>
      <c r="E22" s="60" t="str">
        <f>VLOOKUP(B22, '0. Data Sumber'!B$6:C$10000, 2, 0)</f>
        <v>RC8570</v>
      </c>
      <c r="F22" s="62" t="str">
        <f>VLOOKUP(B22, '0. Data Sumber'!B$6:D$10000, 3, 0)</f>
        <v>Ahmad Fauzi</v>
      </c>
      <c r="G22" s="60" t="str">
        <f t="shared" si="1"/>
        <v>Prioritas Rendah</v>
      </c>
    </row>
    <row r="23" ht="16.5" customHeight="1">
      <c r="B23" s="60">
        <f t="array" ref="B23">INDEX('3. Normalisasi &amp; V'!J$6:J$10000, MATCH(D23, '3. Normalisasi &amp; V'!Q$6:Q$10000, 0))</f>
        <v>7</v>
      </c>
      <c r="C23" s="60">
        <v>18.0</v>
      </c>
      <c r="D23" s="61">
        <f>LARGE('3. Normalisasi &amp; V'!Q$6:Q$10000, 18)</f>
        <v>0.2389235004</v>
      </c>
      <c r="E23" s="60" t="str">
        <f>VLOOKUP(B23, '0. Data Sumber'!B$6:C$10000, 2, 0)</f>
        <v>LE4536</v>
      </c>
      <c r="F23" s="62" t="str">
        <f>VLOOKUP(B23, '0. Data Sumber'!B$6:D$10000, 3, 0)</f>
        <v>Rini Wulandari</v>
      </c>
      <c r="G23" s="60" t="str">
        <f t="shared" si="1"/>
        <v>Prioritas Rendah</v>
      </c>
    </row>
    <row r="24" ht="16.5" customHeight="1">
      <c r="B24" s="60">
        <f t="array" ref="B24">INDEX('3. Normalisasi &amp; V'!J$6:J$10000, MATCH(D24, '3. Normalisasi &amp; V'!Q$6:Q$10000, 0))</f>
        <v>15</v>
      </c>
      <c r="C24" s="60">
        <v>19.0</v>
      </c>
      <c r="D24" s="61">
        <f>LARGE('3. Normalisasi &amp; V'!Q$6:Q$10000, 19)</f>
        <v>0.2244028051</v>
      </c>
      <c r="E24" s="60" t="str">
        <f>VLOOKUP(B24, '0. Data Sumber'!B$6:C$10000, 2, 0)</f>
        <v>ZH5220</v>
      </c>
      <c r="F24" s="62" t="str">
        <f>VLOOKUP(B24, '0. Data Sumber'!B$6:D$10000, 3, 0)</f>
        <v>Agus Saputra</v>
      </c>
      <c r="G24" s="60" t="str">
        <f t="shared" si="1"/>
        <v>Prioritas Rendah</v>
      </c>
    </row>
    <row r="25" ht="16.5" customHeight="1">
      <c r="B25" s="60">
        <f t="array" ref="B25">INDEX('3. Normalisasi &amp; V'!J$6:J$10000, MATCH(D25, '3. Normalisasi &amp; V'!Q$6:Q$10000, 0))</f>
        <v>8</v>
      </c>
      <c r="C25" s="60">
        <v>20.0</v>
      </c>
      <c r="D25" s="61">
        <f>LARGE('3. Normalisasi &amp; V'!Q$6:Q$10000, 20)</f>
        <v>0.2128263486</v>
      </c>
      <c r="E25" s="60" t="str">
        <f>VLOOKUP(B25, '0. Data Sumber'!B$6:C$10000, 2, 0)</f>
        <v>QV3883</v>
      </c>
      <c r="F25" s="62" t="str">
        <f>VLOOKUP(B25, '0. Data Sumber'!B$6:D$10000, 3, 0)</f>
        <v>Eko Prasetyo</v>
      </c>
      <c r="G25" s="60" t="str">
        <f t="shared" si="1"/>
        <v>Prioritas Rendah</v>
      </c>
    </row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3:G3"/>
  </mergeCells>
  <conditionalFormatting sqref="G6:G25">
    <cfRule type="cellIs" dxfId="3" priority="1" operator="equal">
      <formula>"Prioritas Tinggi"</formula>
    </cfRule>
  </conditionalFormatting>
  <conditionalFormatting sqref="G6:G25">
    <cfRule type="cellIs" dxfId="4" priority="2" operator="equal">
      <formula>"Prioritas Sedang"</formula>
    </cfRule>
  </conditionalFormatting>
  <conditionalFormatting sqref="G6:G25">
    <cfRule type="cellIs" dxfId="5" priority="3" operator="equal">
      <formula>"Prioritas Rendah"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